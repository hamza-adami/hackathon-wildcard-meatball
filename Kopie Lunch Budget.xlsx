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art Week 1" sheetId="1" r:id="rId5"/>
    <sheet state="visible" name="Feb Week 4" sheetId="2" r:id="rId6"/>
    <sheet state="visible" name="Feb Week 3" sheetId="3" r:id="rId7"/>
  </sheets>
  <definedNames/>
  <calcPr/>
</workbook>
</file>

<file path=xl/sharedStrings.xml><?xml version="1.0" encoding="utf-8"?>
<sst xmlns="http://schemas.openxmlformats.org/spreadsheetml/2006/main" count="324" uniqueCount="143">
  <si>
    <t>Week 1 Maart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</si>
  <si>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02</t>
    </r>
    <r>
      <rPr>
        <rFont val="Montserrat"/>
        <color theme="1"/>
        <sz val="15.0"/>
      </rPr>
      <t>-</t>
    </r>
    <r>
      <rPr>
        <rFont val="Montserrat"/>
        <b/>
        <color theme="1"/>
        <sz val="15.0"/>
      </rPr>
      <t>03-2026</t>
    </r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</si>
  <si>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05-02-2026</t>
    </r>
  </si>
  <si>
    <t>Aantal bij lunch = 13</t>
  </si>
  <si>
    <t>Aantal bij lunch = 11</t>
  </si>
  <si>
    <t>Artikelen</t>
  </si>
  <si>
    <t>Omschrijving</t>
  </si>
  <si>
    <t>Bedrag €</t>
  </si>
  <si>
    <t>Doorgeschoven</t>
  </si>
  <si>
    <t>Mayonaise in knijpfles</t>
  </si>
  <si>
    <t>Hummus pikant</t>
  </si>
  <si>
    <t>Calvé pindakaas 1kg</t>
  </si>
  <si>
    <t>Lidl Plus korting</t>
  </si>
  <si>
    <t>Sambal Oelek</t>
  </si>
  <si>
    <t>Gegrilde worst SK2</t>
  </si>
  <si>
    <t>Nutella 600g</t>
  </si>
  <si>
    <t>Magere kwark</t>
  </si>
  <si>
    <t>Mosterd in glas</t>
  </si>
  <si>
    <t>Filet Americain</t>
  </si>
  <si>
    <t>In prijs verlaagd</t>
  </si>
  <si>
    <t>Kipfilet</t>
  </si>
  <si>
    <t>Peper cervelaat</t>
  </si>
  <si>
    <t>Goudse extra belegen stuk</t>
  </si>
  <si>
    <t>Bananen (1,022 kg x 1,37)</t>
  </si>
  <si>
    <t>Kip kerrie pittig BL</t>
  </si>
  <si>
    <t>Komkommer (2 x 0,79)</t>
  </si>
  <si>
    <t>Rustiek wit desem</t>
  </si>
  <si>
    <t>Goudse jong belegen stuk</t>
  </si>
  <si>
    <t>Walnotenbrood</t>
  </si>
  <si>
    <t>Gegrilde worst SK2 (2 x 2,86)</t>
  </si>
  <si>
    <t>Kipfilet (2 x 2,32)</t>
  </si>
  <si>
    <t>Mandarijnen</t>
  </si>
  <si>
    <t>Komkommer (4 x 0,79)</t>
  </si>
  <si>
    <t>Appel Elstar tas</t>
  </si>
  <si>
    <t>Desem Bruin Meergr</t>
  </si>
  <si>
    <t>Desem Wit Zonnepit</t>
  </si>
  <si>
    <t>JM Desem Meerzaden (2 x 2,89)</t>
  </si>
  <si>
    <t>Bananen</t>
  </si>
  <si>
    <t>Studentenhaag Z Roz</t>
  </si>
  <si>
    <t>Jumbo Bio Volle KW</t>
  </si>
  <si>
    <t>Totaal</t>
  </si>
  <si>
    <t xml:space="preserve">Totaal </t>
  </si>
  <si>
    <t>BTW</t>
  </si>
  <si>
    <t>BTW %</t>
  </si>
  <si>
    <t>BTW €</t>
  </si>
  <si>
    <t>Excl. €</t>
  </si>
  <si>
    <t>Totaal excl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</si>
  <si>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03-02-2026</t>
    </r>
  </si>
  <si>
    <t>Aantal bij lunch = 9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</si>
  <si>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06-02-2026</t>
    </r>
  </si>
  <si>
    <t>Gehaktballetjes BL (4 x 2,89)</t>
  </si>
  <si>
    <t>JMBS DSM met Mais TW</t>
  </si>
  <si>
    <t>Augurken schijven</t>
  </si>
  <si>
    <t>Jumbo Franse KW Vol</t>
  </si>
  <si>
    <t>Frans stokbrood (6 x 0,99)</t>
  </si>
  <si>
    <t>Jumbo Houmous Pikant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</si>
  <si>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04-02-2026</t>
    </r>
  </si>
  <si>
    <t>Afrekening:</t>
  </si>
  <si>
    <t>incl btw</t>
  </si>
  <si>
    <t>excl btw</t>
  </si>
  <si>
    <t>per dag</t>
  </si>
  <si>
    <t>Zuivelspread naturel</t>
  </si>
  <si>
    <t>Budget</t>
  </si>
  <si>
    <t>Uitgaven</t>
  </si>
  <si>
    <t>Resterend</t>
  </si>
  <si>
    <t>Bananen (0,818 kg x 1,37)</t>
  </si>
  <si>
    <t>VL Lichtmeerzaden</t>
  </si>
  <si>
    <t>Vloerbrood Spelt Wit</t>
  </si>
  <si>
    <t>Totaal:</t>
  </si>
  <si>
    <t>Week 4 Februari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</si>
  <si>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23</t>
    </r>
    <r>
      <rPr>
        <rFont val="Montserrat"/>
        <color theme="1"/>
        <sz val="15.0"/>
      </rPr>
      <t>-</t>
    </r>
    <r>
      <rPr>
        <rFont val="Montserrat"/>
        <b/>
        <color theme="1"/>
        <sz val="15.0"/>
      </rPr>
      <t>02-2026</t>
    </r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</si>
  <si>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26-02-2026</t>
    </r>
  </si>
  <si>
    <t>Bij de Jumbo</t>
  </si>
  <si>
    <t>Bij de Lidl:</t>
  </si>
  <si>
    <t>Hummus pikant (2 x 1,38)</t>
  </si>
  <si>
    <t>Jumbo Fil Americ Mag</t>
  </si>
  <si>
    <t>Jumbo Ger. Kipfilet</t>
  </si>
  <si>
    <t>Saks Leverworst</t>
  </si>
  <si>
    <t>Desem Bruin Meergranen 2x</t>
  </si>
  <si>
    <t>Kipfilet gerookt (2 x 2,59)</t>
  </si>
  <si>
    <t>Jumbo Desem Meerzaden</t>
  </si>
  <si>
    <t>Jumbo Komkommer</t>
  </si>
  <si>
    <t>Bio mandarijnen</t>
  </si>
  <si>
    <t>Jumbo Mandarijnen</t>
  </si>
  <si>
    <t>Actie Mandarijnen</t>
  </si>
  <si>
    <t>Bij de jumbo:</t>
  </si>
  <si>
    <t>Desem Bruin Meergr (2 x 2,89)</t>
  </si>
  <si>
    <t>JM Desem Meerzaden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</si>
  <si>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24-02-2026</t>
    </r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</si>
  <si>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27-02-2026</t>
    </r>
  </si>
  <si>
    <t>Bij de Lidl</t>
  </si>
  <si>
    <t>Fly G Sriracha Chil</t>
  </si>
  <si>
    <t>Elstar Appels</t>
  </si>
  <si>
    <t>Gehaktballetjes BL</t>
  </si>
  <si>
    <t>Actie Appels</t>
  </si>
  <si>
    <t>Gehaktballetjes BL (3 x 2,89)</t>
  </si>
  <si>
    <t>Jumbo Kiprollade</t>
  </si>
  <si>
    <t>Frans stokbrood (4 x 0,99)</t>
  </si>
  <si>
    <t>Komkommer</t>
  </si>
  <si>
    <t>Jumbo Jong Belegen 48+</t>
  </si>
  <si>
    <t>Desem Donker Sesam</t>
  </si>
  <si>
    <t>Grillw. Nat Stuk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</si>
  <si>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25-02-2026</t>
    </r>
  </si>
  <si>
    <t>Aantal bij lunch = 6</t>
  </si>
  <si>
    <t>Bij de LIDL</t>
  </si>
  <si>
    <t>Baguette wit (3 x 0,69)</t>
  </si>
  <si>
    <t>Bananen (1,044 kg x 1,37)</t>
  </si>
  <si>
    <t>Trostomaten (0,198 kg)</t>
  </si>
  <si>
    <t>Bio citroen</t>
  </si>
  <si>
    <t>Kappertjes</t>
  </si>
  <si>
    <t>Uien rood</t>
  </si>
  <si>
    <t>Tonijn VF olijfolie (4 x 1,89)</t>
  </si>
  <si>
    <t>Week 3 Februari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</si>
  <si>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16-02-2026</t>
    </r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</si>
  <si>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19-02-2026</t>
    </r>
  </si>
  <si>
    <t>Desem Donker Sesam (2x)</t>
  </si>
  <si>
    <t>Marne Fra. Mos. Tube</t>
  </si>
  <si>
    <t>Jumbo Gerookte Kipfilet (2x)</t>
  </si>
  <si>
    <t>Jumbo Kipfilet Gebra</t>
  </si>
  <si>
    <t>Desem Bruin Meergr (2x)</t>
  </si>
  <si>
    <t>Grillworst Kip Stuk RP</t>
  </si>
  <si>
    <t>Conimx Sambal Oelek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</si>
  <si>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17-02-2026</t>
    </r>
  </si>
  <si>
    <t>Hema 4x Plakband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</si>
  <si>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20-02-2026</t>
    </r>
  </si>
  <si>
    <t>Aantal bij lunch: 7</t>
  </si>
  <si>
    <t>Hema Sticky Notes</t>
  </si>
  <si>
    <t>Jumbo Gerookt Kipfilet</t>
  </si>
  <si>
    <t>Stokbrood Bruin 4x</t>
  </si>
  <si>
    <t>Jumbo Filet America</t>
  </si>
  <si>
    <t>Gotan Gebakken Uitje</t>
  </si>
  <si>
    <t>Jumbo K&amp;K Sate Mild</t>
  </si>
  <si>
    <t>Jumbo Gehaktballetje 3x</t>
  </si>
  <si>
    <t>Geen lunch: 21%</t>
  </si>
  <si>
    <r>
      <rPr>
        <rFont val="Montserrat"/>
        <color theme="1"/>
        <sz val="15.0"/>
      </rPr>
      <t xml:space="preserve">Datum: </t>
    </r>
    <r>
      <rPr>
        <rFont val="Montserrat"/>
        <b/>
        <color theme="1"/>
        <sz val="15.0"/>
      </rPr>
      <t>18-02-2026</t>
    </r>
  </si>
  <si>
    <t>Jumbo Belegen Stuk</t>
  </si>
  <si>
    <t>Jo Boer Mais Half</t>
  </si>
  <si>
    <t>Desem Bruin Meergranen</t>
  </si>
  <si>
    <t>Kip-Kerriesalade</t>
  </si>
  <si>
    <t>Gegrilde Kip Salade</t>
  </si>
  <si>
    <t>Kipsmix Salades</t>
  </si>
  <si>
    <t>Grillworst Naturel Stuk</t>
  </si>
  <si>
    <t>Totaal korting: -€2,74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</si>
</sst>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&quot;€&quot;#,##0.00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Montserrat"/>
    </font>
    <font>
      <sz val="15.0"/>
      <color theme="1"/>
      <name val="Montserrat"/>
    </font>
    <font>
      <sz val="9.0"/>
      <color theme="1"/>
      <name val="Montserrat"/>
    </font>
    <font>
      <sz val="11.0"/>
      <color theme="1"/>
      <name val="Montserrat"/>
    </font>
    <font>
      <sz val="11.0"/>
      <color theme="1"/>
      <name val="Arial"/>
    </font>
    <font>
      <i/>
      <sz val="18.0"/>
      <color theme="1"/>
      <name val="Montserrat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1" numFmtId="164" xfId="0" applyAlignment="1" applyFont="1" applyNumberFormat="1">
      <alignment vertical="bottom"/>
    </xf>
    <xf borderId="0" fillId="3" fontId="3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2" fontId="1" numFmtId="164" xfId="0" applyAlignment="1" applyFont="1" applyNumberFormat="1">
      <alignment vertical="bottom"/>
    </xf>
    <xf borderId="1" fillId="0" fontId="7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7" fillId="4" fontId="3" numFmtId="164" xfId="0" applyAlignment="1" applyBorder="1" applyFill="1" applyFont="1" applyNumberFormat="1">
      <alignment horizontal="right" vertical="bottom"/>
    </xf>
    <xf borderId="8" fillId="4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5" fontId="3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164" xfId="0" applyFont="1" applyNumberFormat="1"/>
    <xf borderId="0" fillId="3" fontId="2" numFmtId="164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164" xfId="0" applyFont="1" applyNumberFormat="1"/>
    <xf borderId="0" fillId="3" fontId="3" numFmtId="164" xfId="0" applyAlignment="1" applyFont="1" applyNumberForma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164" xfId="0" applyFont="1" applyNumberFormat="1"/>
    <xf borderId="0" fillId="2" fontId="3" numFmtId="164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5" fontId="3" numFmtId="164" xfId="0" applyFont="1" applyNumberFormat="1"/>
    <xf borderId="4" fillId="0" fontId="2" numFmtId="0" xfId="0" applyAlignment="1" applyBorder="1" applyFont="1">
      <alignment readingOrder="0"/>
    </xf>
    <xf borderId="5" fillId="0" fontId="3" numFmtId="164" xfId="0" applyAlignment="1" applyBorder="1" applyFont="1" applyNumberFormat="1">
      <alignment readingOrder="0"/>
    </xf>
    <xf borderId="0" fillId="0" fontId="3" numFmtId="164" xfId="0" applyFont="1" applyNumberFormat="1"/>
    <xf borderId="5" fillId="0" fontId="3" numFmtId="164" xfId="0" applyBorder="1" applyFont="1" applyNumberFormat="1"/>
    <xf borderId="6" fillId="0" fontId="2" numFmtId="0" xfId="0" applyAlignment="1" applyBorder="1" applyFont="1">
      <alignment readingOrder="0"/>
    </xf>
    <xf borderId="7" fillId="0" fontId="3" numFmtId="164" xfId="0" applyBorder="1" applyFont="1" applyNumberFormat="1"/>
    <xf borderId="8" fillId="0" fontId="3" numFmtId="164" xfId="0" applyBorder="1" applyFont="1" applyNumberFormat="1"/>
    <xf borderId="0" fillId="0" fontId="3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6" max="6" width="27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</row>
    <row r="2">
      <c r="A2" s="1"/>
      <c r="B2" s="3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  <c r="M2" s="2"/>
    </row>
    <row r="3">
      <c r="A3" s="4" t="s">
        <v>1</v>
      </c>
      <c r="B3" s="1"/>
      <c r="C3" s="1"/>
      <c r="D3" s="1"/>
      <c r="E3" s="1"/>
      <c r="F3" s="4" t="s">
        <v>2</v>
      </c>
      <c r="G3" s="1"/>
      <c r="H3" s="1"/>
      <c r="I3" s="2"/>
      <c r="J3" s="2"/>
      <c r="K3" s="2"/>
      <c r="L3" s="2"/>
      <c r="M3" s="2"/>
    </row>
    <row r="4">
      <c r="A4" s="1"/>
      <c r="B4" s="4" t="s">
        <v>3</v>
      </c>
      <c r="C4" s="1"/>
      <c r="D4" s="1"/>
      <c r="E4" s="1"/>
      <c r="F4" s="1"/>
      <c r="G4" s="4" t="s">
        <v>4</v>
      </c>
      <c r="H4" s="5"/>
      <c r="I4" s="2"/>
      <c r="J4" s="2"/>
      <c r="K4" s="1"/>
      <c r="L4" s="1"/>
      <c r="M4" s="2"/>
    </row>
    <row r="5">
      <c r="A5" s="4" t="s">
        <v>5</v>
      </c>
      <c r="B5" s="1"/>
      <c r="C5" s="1"/>
      <c r="D5" s="1"/>
      <c r="E5" s="1"/>
      <c r="F5" s="4" t="s">
        <v>5</v>
      </c>
      <c r="G5" s="1"/>
      <c r="H5" s="5"/>
      <c r="I5" s="2"/>
      <c r="J5" s="2"/>
      <c r="K5" s="1"/>
      <c r="L5" s="1"/>
      <c r="M5" s="2"/>
    </row>
    <row r="6">
      <c r="A6" s="6" t="s">
        <v>6</v>
      </c>
      <c r="B6" s="1"/>
      <c r="C6" s="6" t="s">
        <v>7</v>
      </c>
      <c r="D6" s="7" t="s">
        <v>8</v>
      </c>
      <c r="E6" s="1"/>
      <c r="F6" s="6" t="s">
        <v>6</v>
      </c>
      <c r="G6" s="1"/>
      <c r="H6" s="8" t="s">
        <v>7</v>
      </c>
      <c r="I6" s="2"/>
      <c r="J6" s="1"/>
      <c r="K6" s="1"/>
      <c r="L6" s="1"/>
      <c r="M6" s="1"/>
    </row>
    <row r="7">
      <c r="A7" s="9" t="s">
        <v>9</v>
      </c>
      <c r="B7" s="1"/>
      <c r="C7" s="1"/>
      <c r="D7" s="10">
        <v>2.45</v>
      </c>
      <c r="E7" s="1"/>
      <c r="F7" s="9" t="s">
        <v>10</v>
      </c>
      <c r="G7" s="1"/>
      <c r="H7" s="10">
        <v>1.38</v>
      </c>
      <c r="I7" s="2"/>
      <c r="J7" s="1"/>
      <c r="K7" s="1"/>
      <c r="L7" s="1"/>
      <c r="M7" s="1"/>
    </row>
    <row r="8">
      <c r="A8" s="9" t="s">
        <v>11</v>
      </c>
      <c r="B8" s="1"/>
      <c r="C8" s="1"/>
      <c r="D8" s="10">
        <v>6.69</v>
      </c>
      <c r="E8" s="1"/>
      <c r="F8" s="9" t="s">
        <v>12</v>
      </c>
      <c r="G8" s="1"/>
      <c r="H8" s="10">
        <v>-0.49</v>
      </c>
      <c r="I8" s="2"/>
      <c r="J8" s="1"/>
      <c r="K8" s="1"/>
      <c r="L8" s="1"/>
      <c r="M8" s="1"/>
    </row>
    <row r="9">
      <c r="A9" s="9" t="s">
        <v>13</v>
      </c>
      <c r="B9" s="1"/>
      <c r="C9" s="5"/>
      <c r="D9" s="10">
        <v>1.69</v>
      </c>
      <c r="E9" s="1"/>
      <c r="F9" s="9" t="s">
        <v>14</v>
      </c>
      <c r="G9" s="1"/>
      <c r="H9" s="10">
        <v>2.86</v>
      </c>
      <c r="I9" s="2"/>
      <c r="J9" s="1"/>
      <c r="K9" s="1"/>
      <c r="L9" s="1"/>
      <c r="M9" s="1"/>
    </row>
    <row r="10">
      <c r="A10" s="9" t="s">
        <v>15</v>
      </c>
      <c r="B10" s="1"/>
      <c r="C10" s="1"/>
      <c r="D10" s="10">
        <v>5.49</v>
      </c>
      <c r="E10" s="1"/>
      <c r="F10" s="9" t="s">
        <v>16</v>
      </c>
      <c r="G10" s="1"/>
      <c r="H10" s="10">
        <v>1.19</v>
      </c>
      <c r="I10" s="2"/>
      <c r="J10" s="1"/>
      <c r="K10" s="1"/>
      <c r="L10" s="1"/>
      <c r="M10" s="1"/>
    </row>
    <row r="11">
      <c r="A11" s="9" t="s">
        <v>17</v>
      </c>
      <c r="B11" s="1"/>
      <c r="C11" s="10">
        <v>0.84</v>
      </c>
      <c r="D11" s="5"/>
      <c r="E11" s="1"/>
      <c r="F11" s="9" t="s">
        <v>18</v>
      </c>
      <c r="G11" s="1"/>
      <c r="H11" s="10">
        <v>2.19</v>
      </c>
      <c r="I11" s="2"/>
      <c r="J11" s="1"/>
      <c r="K11" s="1"/>
      <c r="L11" s="1"/>
      <c r="M11" s="1"/>
    </row>
    <row r="12">
      <c r="A12" s="9" t="s">
        <v>19</v>
      </c>
      <c r="B12" s="1"/>
      <c r="C12" s="10">
        <v>-0.13</v>
      </c>
      <c r="D12" s="5"/>
      <c r="E12" s="1"/>
      <c r="F12" s="9" t="s">
        <v>20</v>
      </c>
      <c r="G12" s="1"/>
      <c r="H12" s="10">
        <v>2.32</v>
      </c>
      <c r="I12" s="2"/>
      <c r="J12" s="1"/>
      <c r="K12" s="1"/>
      <c r="L12" s="1"/>
      <c r="M12" s="1"/>
    </row>
    <row r="13">
      <c r="A13" s="9" t="s">
        <v>21</v>
      </c>
      <c r="B13" s="1"/>
      <c r="C13" s="10">
        <v>2.29</v>
      </c>
      <c r="D13" s="5"/>
      <c r="E13" s="1"/>
      <c r="F13" s="9" t="s">
        <v>22</v>
      </c>
      <c r="G13" s="1"/>
      <c r="H13" s="10">
        <v>8.59</v>
      </c>
      <c r="I13" s="2"/>
      <c r="J13" s="1"/>
      <c r="K13" s="1"/>
      <c r="L13" s="1"/>
      <c r="M13" s="1"/>
    </row>
    <row r="14">
      <c r="A14" s="9" t="s">
        <v>18</v>
      </c>
      <c r="B14" s="1"/>
      <c r="C14" s="10">
        <v>2.19</v>
      </c>
      <c r="D14" s="5"/>
      <c r="E14" s="1"/>
      <c r="F14" s="9" t="s">
        <v>23</v>
      </c>
      <c r="G14" s="1"/>
      <c r="H14" s="10">
        <v>1.4</v>
      </c>
      <c r="I14" s="2"/>
      <c r="J14" s="1"/>
      <c r="K14" s="1"/>
      <c r="L14" s="1"/>
      <c r="M14" s="1"/>
    </row>
    <row r="15">
      <c r="A15" s="9" t="s">
        <v>24</v>
      </c>
      <c r="B15" s="1"/>
      <c r="C15" s="10">
        <v>2.19</v>
      </c>
      <c r="D15" s="5"/>
      <c r="E15" s="1"/>
      <c r="F15" s="9" t="s">
        <v>25</v>
      </c>
      <c r="G15" s="1"/>
      <c r="H15" s="10">
        <v>1.58</v>
      </c>
      <c r="I15" s="2"/>
      <c r="J15" s="1"/>
      <c r="K15" s="1"/>
      <c r="L15" s="1"/>
      <c r="M15" s="1"/>
    </row>
    <row r="16">
      <c r="A16" s="9" t="s">
        <v>19</v>
      </c>
      <c r="B16" s="1"/>
      <c r="C16" s="10">
        <v>-0.2</v>
      </c>
      <c r="D16" s="5"/>
      <c r="E16" s="1"/>
      <c r="F16" s="9" t="s">
        <v>26</v>
      </c>
      <c r="G16" s="1"/>
      <c r="H16" s="10">
        <v>1.99</v>
      </c>
      <c r="I16" s="2"/>
      <c r="J16" s="1"/>
      <c r="K16" s="1"/>
      <c r="L16" s="1"/>
      <c r="M16" s="1"/>
    </row>
    <row r="17">
      <c r="A17" s="9" t="s">
        <v>27</v>
      </c>
      <c r="B17" s="1"/>
      <c r="C17" s="10">
        <v>8.16</v>
      </c>
      <c r="D17" s="5"/>
      <c r="E17" s="1"/>
      <c r="F17" s="9" t="s">
        <v>28</v>
      </c>
      <c r="G17" s="1"/>
      <c r="H17" s="10">
        <v>1.89</v>
      </c>
      <c r="I17" s="2"/>
      <c r="J17" s="1"/>
      <c r="K17" s="1"/>
      <c r="L17" s="1"/>
      <c r="M17" s="1"/>
    </row>
    <row r="18">
      <c r="A18" s="9" t="s">
        <v>29</v>
      </c>
      <c r="B18" s="1"/>
      <c r="C18" s="10">
        <v>5.72</v>
      </c>
      <c r="D18" s="1"/>
      <c r="E18" s="1"/>
      <c r="F18" s="1"/>
      <c r="G18" s="1"/>
      <c r="H18" s="5"/>
      <c r="I18" s="2"/>
      <c r="J18" s="1"/>
      <c r="K18" s="1"/>
      <c r="L18" s="1"/>
      <c r="M18" s="1"/>
    </row>
    <row r="19">
      <c r="A19" s="9" t="s">
        <v>30</v>
      </c>
      <c r="B19" s="1"/>
      <c r="C19" s="10">
        <v>4.64</v>
      </c>
      <c r="D19" s="1"/>
      <c r="E19" s="1"/>
      <c r="F19" s="1"/>
      <c r="G19" s="1"/>
      <c r="H19" s="5"/>
      <c r="I19" s="2"/>
      <c r="J19" s="1"/>
      <c r="K19" s="1"/>
      <c r="L19" s="1"/>
      <c r="M19" s="1"/>
    </row>
    <row r="20">
      <c r="A20" s="9" t="s">
        <v>31</v>
      </c>
      <c r="B20" s="1"/>
      <c r="C20" s="10">
        <v>2.49</v>
      </c>
      <c r="D20" s="1"/>
      <c r="E20" s="1"/>
      <c r="F20" s="1"/>
      <c r="G20" s="1"/>
      <c r="H20" s="5"/>
      <c r="I20" s="2"/>
      <c r="J20" s="1"/>
      <c r="K20" s="1"/>
      <c r="L20" s="1"/>
      <c r="M20" s="1"/>
    </row>
    <row r="21">
      <c r="A21" s="9" t="s">
        <v>32</v>
      </c>
      <c r="B21" s="1"/>
      <c r="C21" s="10">
        <v>3.16</v>
      </c>
      <c r="D21" s="1"/>
      <c r="E21" s="1"/>
      <c r="F21" s="1"/>
      <c r="G21" s="1"/>
      <c r="H21" s="5"/>
      <c r="I21" s="2"/>
      <c r="J21" s="1"/>
      <c r="K21" s="1"/>
      <c r="L21" s="1"/>
      <c r="M21" s="1"/>
    </row>
    <row r="22">
      <c r="A22" s="9" t="s">
        <v>33</v>
      </c>
      <c r="B22" s="1"/>
      <c r="C22" s="10">
        <v>1.99</v>
      </c>
      <c r="D22" s="1"/>
      <c r="E22" s="1"/>
      <c r="F22" s="1"/>
      <c r="G22" s="1"/>
      <c r="H22" s="5"/>
      <c r="I22" s="2"/>
      <c r="J22" s="1"/>
      <c r="K22" s="1"/>
      <c r="L22" s="1"/>
      <c r="M22" s="1"/>
    </row>
    <row r="23">
      <c r="A23" s="9" t="s">
        <v>34</v>
      </c>
      <c r="B23" s="1"/>
      <c r="C23" s="10">
        <v>2.89</v>
      </c>
      <c r="D23" s="1"/>
      <c r="E23" s="1"/>
      <c r="F23" s="1"/>
      <c r="G23" s="1"/>
      <c r="H23" s="5"/>
      <c r="I23" s="2"/>
      <c r="J23" s="1"/>
      <c r="K23" s="1"/>
      <c r="L23" s="1"/>
      <c r="M23" s="1"/>
    </row>
    <row r="24">
      <c r="A24" s="9" t="s">
        <v>35</v>
      </c>
      <c r="B24" s="1"/>
      <c r="C24" s="10">
        <v>2.89</v>
      </c>
      <c r="D24" s="1"/>
      <c r="E24" s="1"/>
      <c r="F24" s="1"/>
      <c r="G24" s="1"/>
      <c r="H24" s="5"/>
      <c r="I24" s="2"/>
      <c r="J24" s="1"/>
      <c r="K24" s="1"/>
      <c r="L24" s="1"/>
      <c r="M24" s="1"/>
    </row>
    <row r="25">
      <c r="A25" s="9" t="s">
        <v>36</v>
      </c>
      <c r="B25" s="1"/>
      <c r="C25" s="10">
        <v>5.78</v>
      </c>
      <c r="D25" s="1"/>
      <c r="E25" s="1"/>
      <c r="F25" s="1"/>
      <c r="G25" s="1"/>
      <c r="H25" s="5"/>
      <c r="I25" s="2"/>
      <c r="J25" s="1"/>
      <c r="K25" s="1"/>
      <c r="L25" s="1"/>
      <c r="M25" s="1"/>
    </row>
    <row r="26">
      <c r="A26" s="9" t="s">
        <v>37</v>
      </c>
      <c r="B26" s="1"/>
      <c r="C26" s="10">
        <v>0.23</v>
      </c>
      <c r="D26" s="1"/>
      <c r="E26" s="1"/>
      <c r="F26" s="1"/>
      <c r="G26" s="1"/>
      <c r="H26" s="5"/>
      <c r="I26" s="2"/>
      <c r="J26" s="1"/>
      <c r="K26" s="1"/>
      <c r="L26" s="1"/>
      <c r="M26" s="1"/>
    </row>
    <row r="27">
      <c r="A27" s="9" t="s">
        <v>38</v>
      </c>
      <c r="B27" s="1"/>
      <c r="C27" s="10">
        <v>3.99</v>
      </c>
      <c r="D27" s="1"/>
      <c r="E27" s="1"/>
      <c r="F27" s="1"/>
      <c r="G27" s="1"/>
      <c r="H27" s="5"/>
      <c r="I27" s="2"/>
      <c r="J27" s="1"/>
      <c r="K27" s="1"/>
      <c r="L27" s="1"/>
      <c r="M27" s="1"/>
    </row>
    <row r="28">
      <c r="A28" s="9" t="s">
        <v>39</v>
      </c>
      <c r="B28" s="1"/>
      <c r="C28" s="10">
        <v>1.89</v>
      </c>
      <c r="D28" s="1"/>
      <c r="E28" s="1"/>
      <c r="F28" s="1"/>
      <c r="G28" s="1"/>
      <c r="H28" s="5"/>
      <c r="I28" s="2"/>
      <c r="J28" s="1"/>
      <c r="K28" s="1"/>
      <c r="L28" s="1"/>
      <c r="M28" s="1"/>
    </row>
    <row r="29">
      <c r="A29" s="1"/>
      <c r="B29" s="1"/>
      <c r="C29" s="5"/>
      <c r="D29" s="1"/>
      <c r="E29" s="1"/>
      <c r="F29" s="1"/>
      <c r="G29" s="1"/>
      <c r="H29" s="5"/>
      <c r="I29" s="2"/>
      <c r="J29" s="1"/>
      <c r="K29" s="1"/>
      <c r="L29" s="1"/>
      <c r="M29" s="1"/>
    </row>
    <row r="30">
      <c r="A30" s="11" t="s">
        <v>40</v>
      </c>
      <c r="B30" s="12"/>
      <c r="C30" s="13">
        <f>SUM(C11:C29)</f>
        <v>51.01</v>
      </c>
      <c r="D30" s="1"/>
      <c r="E30" s="1"/>
      <c r="F30" s="11" t="s">
        <v>41</v>
      </c>
      <c r="G30" s="12"/>
      <c r="H30" s="13">
        <f>SUM(H7:H23)</f>
        <v>24.9</v>
      </c>
      <c r="I30" s="2"/>
      <c r="J30" s="1"/>
      <c r="K30" s="1"/>
      <c r="L30" s="1"/>
      <c r="M30" s="1"/>
    </row>
    <row r="31">
      <c r="A31" s="4" t="s">
        <v>42</v>
      </c>
      <c r="B31" s="1"/>
      <c r="C31" s="1"/>
      <c r="D31" s="1"/>
      <c r="E31" s="1"/>
      <c r="F31" s="4" t="s">
        <v>42</v>
      </c>
      <c r="G31" s="1"/>
      <c r="H31" s="1"/>
      <c r="I31" s="2"/>
      <c r="J31" s="1"/>
      <c r="K31" s="1"/>
      <c r="L31" s="1"/>
      <c r="M31" s="1"/>
    </row>
    <row r="32">
      <c r="A32" s="6" t="s">
        <v>43</v>
      </c>
      <c r="B32" s="6" t="s">
        <v>44</v>
      </c>
      <c r="C32" s="6" t="s">
        <v>45</v>
      </c>
      <c r="D32" s="1"/>
      <c r="E32" s="1"/>
      <c r="F32" s="6" t="s">
        <v>43</v>
      </c>
      <c r="G32" s="6" t="s">
        <v>44</v>
      </c>
      <c r="H32" s="6" t="s">
        <v>45</v>
      </c>
      <c r="I32" s="2"/>
      <c r="J32" s="1"/>
      <c r="K32" s="1"/>
      <c r="L32" s="1"/>
      <c r="M32" s="1"/>
    </row>
    <row r="33">
      <c r="A33" s="14">
        <v>0.09</v>
      </c>
      <c r="B33" s="15">
        <f>C30*A33</f>
        <v>4.5909</v>
      </c>
      <c r="C33" s="15">
        <f>C30-B33</f>
        <v>46.4191</v>
      </c>
      <c r="D33" s="1"/>
      <c r="E33" s="1"/>
      <c r="F33" s="16">
        <v>0.09</v>
      </c>
      <c r="G33" s="15">
        <f>H30-H33</f>
        <v>2.06</v>
      </c>
      <c r="H33" s="15">
        <v>22.84</v>
      </c>
      <c r="I33" s="2"/>
      <c r="J33" s="2"/>
      <c r="K33" s="2"/>
      <c r="L33" s="2"/>
      <c r="M33" s="2"/>
    </row>
    <row r="34">
      <c r="A34" s="17" t="s">
        <v>46</v>
      </c>
      <c r="B34" s="18"/>
      <c r="C34" s="19">
        <f>C33</f>
        <v>46.4191</v>
      </c>
      <c r="D34" s="1"/>
      <c r="E34" s="1"/>
      <c r="F34" s="17" t="s">
        <v>46</v>
      </c>
      <c r="G34" s="18"/>
      <c r="H34" s="19">
        <f>H33</f>
        <v>22.84</v>
      </c>
      <c r="I34" s="2"/>
      <c r="J34" s="2"/>
      <c r="K34" s="2"/>
      <c r="L34" s="2"/>
      <c r="M34" s="2"/>
    </row>
    <row r="35">
      <c r="A35" s="2"/>
      <c r="B35" s="2"/>
      <c r="C35" s="2"/>
      <c r="D35" s="1"/>
      <c r="E35" s="1"/>
      <c r="F35" s="1"/>
      <c r="G35" s="1"/>
      <c r="H35" s="1"/>
      <c r="I35" s="2"/>
      <c r="J35" s="2"/>
      <c r="K35" s="2"/>
      <c r="L35" s="2"/>
      <c r="M35" s="2"/>
    </row>
    <row r="36">
      <c r="A36" s="4" t="s">
        <v>47</v>
      </c>
      <c r="B36" s="4" t="s">
        <v>48</v>
      </c>
      <c r="C36" s="1"/>
      <c r="D36" s="1"/>
      <c r="E36" s="1"/>
      <c r="F36" s="4" t="s">
        <v>49</v>
      </c>
      <c r="G36" s="4" t="s">
        <v>4</v>
      </c>
      <c r="H36" s="1"/>
      <c r="I36" s="2"/>
      <c r="J36" s="2"/>
      <c r="K36" s="2"/>
      <c r="L36" s="2"/>
      <c r="M36" s="2"/>
    </row>
    <row r="37">
      <c r="A37" s="1"/>
      <c r="B37" s="1"/>
      <c r="C37" s="1"/>
      <c r="D37" s="1"/>
      <c r="E37" s="1"/>
      <c r="F37" s="1"/>
      <c r="G37" s="1"/>
      <c r="H37" s="5"/>
      <c r="I37" s="2"/>
      <c r="J37" s="2"/>
      <c r="K37" s="2"/>
      <c r="L37" s="2"/>
      <c r="M37" s="2"/>
    </row>
    <row r="38">
      <c r="A38" s="4" t="s">
        <v>5</v>
      </c>
      <c r="B38" s="1"/>
      <c r="C38" s="1"/>
      <c r="D38" s="1"/>
      <c r="E38" s="1"/>
      <c r="F38" s="4" t="s">
        <v>5</v>
      </c>
      <c r="G38" s="1"/>
      <c r="H38" s="5"/>
      <c r="I38" s="2"/>
      <c r="J38" s="2"/>
      <c r="K38" s="2"/>
      <c r="L38" s="2"/>
      <c r="M38" s="2"/>
    </row>
    <row r="39">
      <c r="A39" s="6" t="s">
        <v>6</v>
      </c>
      <c r="B39" s="1"/>
      <c r="C39" s="6" t="s">
        <v>7</v>
      </c>
      <c r="D39" s="1"/>
      <c r="E39" s="1"/>
      <c r="F39" s="6" t="s">
        <v>6</v>
      </c>
      <c r="G39" s="1"/>
      <c r="H39" s="1"/>
      <c r="I39" s="1"/>
      <c r="J39" s="1"/>
      <c r="K39" s="1"/>
      <c r="L39" s="1"/>
      <c r="M39" s="1"/>
    </row>
    <row r="40">
      <c r="A40" s="9" t="s">
        <v>35</v>
      </c>
      <c r="B40" s="1"/>
      <c r="C40" s="10">
        <v>2.89</v>
      </c>
      <c r="D40" s="5"/>
      <c r="E40" s="1"/>
      <c r="F40" s="9" t="s">
        <v>50</v>
      </c>
      <c r="G40" s="1"/>
      <c r="H40" s="10">
        <v>11.56</v>
      </c>
      <c r="I40" s="2"/>
      <c r="J40" s="2"/>
      <c r="K40" s="2"/>
      <c r="L40" s="2"/>
      <c r="M40" s="2"/>
    </row>
    <row r="41">
      <c r="A41" s="9" t="s">
        <v>51</v>
      </c>
      <c r="B41" s="1"/>
      <c r="C41" s="10">
        <v>2.89</v>
      </c>
      <c r="D41" s="5"/>
      <c r="E41" s="1"/>
      <c r="F41" s="9" t="s">
        <v>52</v>
      </c>
      <c r="G41" s="1"/>
      <c r="H41" s="10">
        <v>1.15</v>
      </c>
      <c r="I41" s="2"/>
      <c r="J41" s="2"/>
      <c r="K41" s="2"/>
      <c r="L41" s="2"/>
      <c r="M41" s="2"/>
    </row>
    <row r="42">
      <c r="A42" s="9" t="s">
        <v>53</v>
      </c>
      <c r="B42" s="1"/>
      <c r="C42" s="10">
        <v>1.39</v>
      </c>
      <c r="D42" s="1"/>
      <c r="E42" s="1"/>
      <c r="F42" s="9" t="s">
        <v>54</v>
      </c>
      <c r="G42" s="1"/>
      <c r="H42" s="10">
        <v>5.94</v>
      </c>
      <c r="I42" s="2"/>
      <c r="J42" s="2"/>
      <c r="K42" s="2"/>
      <c r="L42" s="2"/>
      <c r="M42" s="2"/>
    </row>
    <row r="43">
      <c r="A43" s="9" t="s">
        <v>55</v>
      </c>
      <c r="B43" s="1"/>
      <c r="C43" s="20">
        <v>1.39</v>
      </c>
      <c r="D43" s="1"/>
      <c r="E43" s="1"/>
      <c r="F43" s="1"/>
      <c r="G43" s="1"/>
      <c r="H43" s="5"/>
      <c r="I43" s="2"/>
      <c r="J43" s="2"/>
      <c r="K43" s="2"/>
      <c r="L43" s="2"/>
      <c r="M43" s="2"/>
    </row>
    <row r="44">
      <c r="A44" s="1"/>
      <c r="B44" s="1"/>
      <c r="C44" s="5"/>
      <c r="D44" s="1"/>
      <c r="E44" s="1"/>
      <c r="F44" s="1"/>
      <c r="G44" s="1"/>
      <c r="H44" s="5"/>
      <c r="I44" s="2"/>
      <c r="J44" s="2"/>
      <c r="K44" s="2"/>
      <c r="L44" s="2"/>
      <c r="M44" s="2"/>
    </row>
    <row r="45">
      <c r="A45" s="1"/>
      <c r="B45" s="1"/>
      <c r="C45" s="5"/>
      <c r="D45" s="1"/>
      <c r="E45" s="1"/>
      <c r="F45" s="1"/>
      <c r="G45" s="1"/>
      <c r="H45" s="5"/>
      <c r="I45" s="2"/>
      <c r="J45" s="2"/>
      <c r="K45" s="2"/>
      <c r="L45" s="2"/>
      <c r="M45" s="2"/>
    </row>
    <row r="46">
      <c r="A46" s="1"/>
      <c r="B46" s="1"/>
      <c r="C46" s="5"/>
      <c r="D46" s="1"/>
      <c r="E46" s="1"/>
      <c r="F46" s="1"/>
      <c r="G46" s="1"/>
      <c r="H46" s="5"/>
      <c r="I46" s="2"/>
      <c r="J46" s="2"/>
      <c r="K46" s="2"/>
      <c r="L46" s="2"/>
      <c r="M46" s="2"/>
    </row>
    <row r="47">
      <c r="A47" s="1"/>
      <c r="B47" s="1"/>
      <c r="C47" s="5"/>
      <c r="D47" s="1"/>
      <c r="E47" s="1"/>
      <c r="F47" s="1"/>
      <c r="G47" s="1"/>
      <c r="H47" s="5"/>
      <c r="I47" s="2"/>
      <c r="J47" s="2"/>
      <c r="K47" s="2"/>
      <c r="L47" s="2"/>
      <c r="M47" s="2"/>
    </row>
    <row r="48">
      <c r="A48" s="1"/>
      <c r="B48" s="1"/>
      <c r="C48" s="5"/>
      <c r="D48" s="1"/>
      <c r="E48" s="1"/>
      <c r="F48" s="1"/>
      <c r="G48" s="1"/>
      <c r="H48" s="5"/>
      <c r="I48" s="2"/>
      <c r="J48" s="2"/>
      <c r="K48" s="2"/>
      <c r="L48" s="2"/>
      <c r="M48" s="2"/>
    </row>
    <row r="49">
      <c r="A49" s="1"/>
      <c r="B49" s="1"/>
      <c r="C49" s="5"/>
      <c r="D49" s="1"/>
      <c r="E49" s="1"/>
      <c r="F49" s="1"/>
      <c r="G49" s="1"/>
      <c r="H49" s="5"/>
      <c r="I49" s="2"/>
      <c r="J49" s="2"/>
      <c r="K49" s="2"/>
      <c r="L49" s="2"/>
      <c r="M49" s="2"/>
    </row>
    <row r="50">
      <c r="A50" s="1"/>
      <c r="B50" s="1"/>
      <c r="C50" s="5"/>
      <c r="D50" s="1"/>
      <c r="E50" s="1"/>
      <c r="F50" s="1"/>
      <c r="G50" s="1"/>
      <c r="H50" s="5"/>
      <c r="I50" s="2"/>
      <c r="J50" s="2"/>
      <c r="K50" s="2"/>
      <c r="L50" s="2"/>
      <c r="M50" s="2"/>
    </row>
    <row r="51">
      <c r="A51" s="1"/>
      <c r="B51" s="1"/>
      <c r="C51" s="5"/>
      <c r="D51" s="1"/>
      <c r="E51" s="1"/>
      <c r="F51" s="1"/>
      <c r="G51" s="1"/>
      <c r="H51" s="5"/>
      <c r="I51" s="2"/>
      <c r="J51" s="2"/>
      <c r="K51" s="2"/>
      <c r="L51" s="2"/>
      <c r="M51" s="2"/>
    </row>
    <row r="52">
      <c r="A52" s="1"/>
      <c r="B52" s="1"/>
      <c r="C52" s="5"/>
      <c r="D52" s="1"/>
      <c r="E52" s="1"/>
      <c r="F52" s="1"/>
      <c r="G52" s="1"/>
      <c r="H52" s="5"/>
      <c r="I52" s="2"/>
      <c r="J52" s="2"/>
      <c r="K52" s="2"/>
      <c r="L52" s="2"/>
      <c r="M52" s="2"/>
    </row>
    <row r="53">
      <c r="A53" s="1"/>
      <c r="B53" s="1"/>
      <c r="C53" s="5"/>
      <c r="D53" s="1"/>
      <c r="E53" s="1"/>
      <c r="F53" s="1"/>
      <c r="G53" s="1"/>
      <c r="H53" s="5"/>
      <c r="I53" s="2"/>
      <c r="J53" s="2"/>
      <c r="K53" s="2"/>
      <c r="L53" s="2"/>
      <c r="M53" s="2"/>
    </row>
    <row r="54">
      <c r="A54" s="1"/>
      <c r="B54" s="1"/>
      <c r="C54" s="5"/>
      <c r="D54" s="1"/>
      <c r="E54" s="1"/>
      <c r="F54" s="1"/>
      <c r="G54" s="1"/>
      <c r="H54" s="5"/>
      <c r="I54" s="2"/>
      <c r="J54" s="2"/>
      <c r="K54" s="2"/>
      <c r="L54" s="2"/>
      <c r="M54" s="2"/>
    </row>
    <row r="55">
      <c r="A55" s="1"/>
      <c r="B55" s="1"/>
      <c r="C55" s="5"/>
      <c r="D55" s="1"/>
      <c r="E55" s="1"/>
      <c r="F55" s="1"/>
      <c r="G55" s="1"/>
      <c r="H55" s="5"/>
      <c r="I55" s="2"/>
      <c r="J55" s="2"/>
      <c r="K55" s="2"/>
      <c r="L55" s="2"/>
      <c r="M55" s="2"/>
    </row>
    <row r="56">
      <c r="A56" s="11" t="s">
        <v>40</v>
      </c>
      <c r="B56" s="12"/>
      <c r="C56" s="13">
        <f>SUM(C40:C54)</f>
        <v>8.56</v>
      </c>
      <c r="D56" s="1"/>
      <c r="E56" s="1"/>
      <c r="F56" s="11" t="s">
        <v>41</v>
      </c>
      <c r="G56" s="12"/>
      <c r="H56" s="13">
        <f>SUM(H40:H55)</f>
        <v>18.65</v>
      </c>
      <c r="I56" s="2"/>
      <c r="J56" s="2"/>
      <c r="K56" s="1"/>
      <c r="L56" s="1"/>
      <c r="M56" s="1"/>
    </row>
    <row r="57">
      <c r="A57" s="4" t="s">
        <v>42</v>
      </c>
      <c r="B57" s="1"/>
      <c r="C57" s="1"/>
      <c r="D57" s="1"/>
      <c r="E57" s="1"/>
      <c r="F57" s="4" t="s">
        <v>42</v>
      </c>
      <c r="G57" s="1"/>
      <c r="H57" s="1"/>
      <c r="I57" s="2"/>
      <c r="J57" s="2"/>
      <c r="K57" s="1"/>
      <c r="L57" s="1"/>
      <c r="M57" s="1"/>
    </row>
    <row r="58">
      <c r="A58" s="6" t="s">
        <v>43</v>
      </c>
      <c r="B58" s="6" t="s">
        <v>44</v>
      </c>
      <c r="C58" s="6" t="s">
        <v>45</v>
      </c>
      <c r="D58" s="1"/>
      <c r="E58" s="1"/>
      <c r="F58" s="6" t="s">
        <v>43</v>
      </c>
      <c r="G58" s="6" t="s">
        <v>44</v>
      </c>
      <c r="H58" s="6" t="s">
        <v>45</v>
      </c>
      <c r="I58" s="2"/>
      <c r="J58" s="2"/>
      <c r="K58" s="1"/>
      <c r="L58" s="1"/>
      <c r="M58" s="1"/>
    </row>
    <row r="59">
      <c r="A59" s="16">
        <v>0.09</v>
      </c>
      <c r="B59" s="15">
        <f>C56-C59</f>
        <v>0.71</v>
      </c>
      <c r="C59" s="15">
        <v>7.85</v>
      </c>
      <c r="D59" s="1"/>
      <c r="E59" s="1"/>
      <c r="F59" s="16">
        <v>0.09</v>
      </c>
      <c r="G59" s="15">
        <f>H56-H59</f>
        <v>1.54</v>
      </c>
      <c r="H59" s="15">
        <v>17.11</v>
      </c>
      <c r="I59" s="2"/>
      <c r="J59" s="2"/>
      <c r="K59" s="1"/>
      <c r="L59" s="1"/>
      <c r="M59" s="1"/>
    </row>
    <row r="60">
      <c r="A60" s="17" t="s">
        <v>46</v>
      </c>
      <c r="B60" s="18"/>
      <c r="C60" s="19">
        <f>SUM(C59)</f>
        <v>7.85</v>
      </c>
      <c r="D60" s="5"/>
      <c r="E60" s="1"/>
      <c r="F60" s="17" t="s">
        <v>46</v>
      </c>
      <c r="G60" s="18"/>
      <c r="H60" s="19">
        <f>H59</f>
        <v>17.11</v>
      </c>
      <c r="I60" s="2"/>
      <c r="J60" s="2"/>
      <c r="K60" s="1"/>
      <c r="L60" s="1"/>
      <c r="M60" s="1"/>
    </row>
    <row r="61">
      <c r="A61" s="2"/>
      <c r="B61" s="2"/>
      <c r="C61" s="2"/>
      <c r="D61" s="1"/>
      <c r="E61" s="1"/>
      <c r="F61" s="2"/>
      <c r="G61" s="21"/>
      <c r="H61" s="21"/>
      <c r="I61" s="2"/>
      <c r="J61" s="2"/>
      <c r="K61" s="2"/>
      <c r="L61" s="2"/>
      <c r="M61" s="2"/>
    </row>
    <row r="62">
      <c r="A62" s="4" t="s">
        <v>56</v>
      </c>
      <c r="B62" s="4" t="s">
        <v>48</v>
      </c>
      <c r="C62" s="1"/>
      <c r="D62" s="1"/>
      <c r="E62" s="1"/>
      <c r="F62" s="2"/>
      <c r="G62" s="2"/>
      <c r="H62" s="2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4" t="s">
        <v>5</v>
      </c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</row>
    <row r="65">
      <c r="A65" s="6" t="s">
        <v>6</v>
      </c>
      <c r="B65" s="1"/>
      <c r="C65" s="6" t="s">
        <v>7</v>
      </c>
      <c r="D65" s="1"/>
      <c r="E65" s="1"/>
      <c r="F65" s="1"/>
      <c r="G65" s="1"/>
      <c r="H65" s="2"/>
      <c r="I65" s="2"/>
      <c r="J65" s="2"/>
      <c r="K65" s="2"/>
      <c r="L65" s="2"/>
      <c r="M65" s="2"/>
    </row>
    <row r="66">
      <c r="A66" s="9" t="s">
        <v>10</v>
      </c>
      <c r="B66" s="1"/>
      <c r="C66" s="10">
        <v>1.38</v>
      </c>
      <c r="D66" s="1"/>
      <c r="E66" s="1"/>
      <c r="F66" s="1"/>
      <c r="G66" s="1"/>
      <c r="H66" s="2"/>
      <c r="I66" s="2"/>
      <c r="J66" s="2"/>
      <c r="K66" s="2"/>
      <c r="L66" s="2"/>
      <c r="M66" s="2"/>
    </row>
    <row r="67">
      <c r="A67" s="9" t="s">
        <v>12</v>
      </c>
      <c r="B67" s="1"/>
      <c r="C67" s="10">
        <v>-0.49</v>
      </c>
      <c r="D67" s="1"/>
      <c r="E67" s="1"/>
      <c r="F67" s="22" t="s">
        <v>57</v>
      </c>
      <c r="G67" s="23"/>
      <c r="H67" s="24"/>
      <c r="I67" s="2"/>
      <c r="J67" s="2"/>
      <c r="K67" s="2"/>
      <c r="L67" s="2"/>
      <c r="M67" s="2"/>
    </row>
    <row r="68">
      <c r="A68" s="9" t="s">
        <v>16</v>
      </c>
      <c r="B68" s="1"/>
      <c r="C68" s="10">
        <v>1.19</v>
      </c>
      <c r="D68" s="1"/>
      <c r="E68" s="1"/>
      <c r="F68" s="25"/>
      <c r="G68" s="3" t="s">
        <v>58</v>
      </c>
      <c r="H68" s="26" t="s">
        <v>59</v>
      </c>
      <c r="I68" s="2"/>
      <c r="J68" s="27" t="s">
        <v>60</v>
      </c>
      <c r="K68" s="28">
        <f>G69/5</f>
        <v>24</v>
      </c>
      <c r="L68" s="2"/>
      <c r="M68" s="2"/>
    </row>
    <row r="69">
      <c r="A69" s="9" t="s">
        <v>61</v>
      </c>
      <c r="B69" s="1"/>
      <c r="C69" s="10">
        <v>1.79</v>
      </c>
      <c r="D69" s="1"/>
      <c r="E69" s="1"/>
      <c r="F69" s="29" t="s">
        <v>62</v>
      </c>
      <c r="G69" s="15">
        <v>120.0</v>
      </c>
      <c r="H69" s="30">
        <v>120.0</v>
      </c>
      <c r="I69" s="2"/>
      <c r="J69" s="2"/>
      <c r="K69" s="2"/>
      <c r="L69" s="2"/>
      <c r="M69" s="2"/>
    </row>
    <row r="70">
      <c r="A70" s="9" t="s">
        <v>14</v>
      </c>
      <c r="B70" s="1"/>
      <c r="C70" s="10">
        <v>2.86</v>
      </c>
      <c r="D70" s="1"/>
      <c r="E70" s="1"/>
      <c r="F70" s="29" t="s">
        <v>63</v>
      </c>
      <c r="G70" s="15">
        <f>SUM(C30,C56,C82,H30,H56)</f>
        <v>118.79</v>
      </c>
      <c r="H70" s="30">
        <f>SUM(C34,C60,C86,H34,H61)</f>
        <v>91.4891</v>
      </c>
      <c r="I70" s="2"/>
      <c r="J70" s="2"/>
      <c r="K70" s="2"/>
      <c r="L70" s="2"/>
      <c r="M70" s="2"/>
    </row>
    <row r="71">
      <c r="A71" s="9" t="s">
        <v>20</v>
      </c>
      <c r="B71" s="1"/>
      <c r="C71" s="10">
        <v>2.32</v>
      </c>
      <c r="D71" s="1"/>
      <c r="E71" s="1"/>
      <c r="F71" s="31" t="s">
        <v>64</v>
      </c>
      <c r="G71" s="32">
        <f t="shared" ref="G71:H71" si="1">G69-G70</f>
        <v>1.21</v>
      </c>
      <c r="H71" s="33">
        <f t="shared" si="1"/>
        <v>28.5109</v>
      </c>
      <c r="I71" s="2"/>
      <c r="J71" s="2"/>
      <c r="K71" s="2"/>
      <c r="L71" s="2"/>
      <c r="M71" s="2"/>
    </row>
    <row r="72">
      <c r="A72" s="9" t="s">
        <v>65</v>
      </c>
      <c r="B72" s="1"/>
      <c r="C72" s="10">
        <v>1.12</v>
      </c>
      <c r="D72" s="1"/>
      <c r="E72" s="1"/>
      <c r="F72" s="1"/>
      <c r="G72" s="1"/>
      <c r="H72" s="1"/>
      <c r="I72" s="2"/>
      <c r="J72" s="2"/>
      <c r="K72" s="2"/>
      <c r="L72" s="2"/>
      <c r="M72" s="2"/>
    </row>
    <row r="73">
      <c r="A73" s="9" t="s">
        <v>66</v>
      </c>
      <c r="B73" s="1"/>
      <c r="C73" s="10">
        <v>2.75</v>
      </c>
      <c r="D73" s="1"/>
      <c r="E73" s="1"/>
      <c r="F73" s="1"/>
      <c r="G73" s="1"/>
      <c r="H73" s="2"/>
      <c r="I73" s="2"/>
      <c r="J73" s="2"/>
      <c r="K73" s="2"/>
      <c r="L73" s="2"/>
      <c r="M73" s="2"/>
    </row>
    <row r="74">
      <c r="A74" s="9" t="s">
        <v>67</v>
      </c>
      <c r="B74" s="1"/>
      <c r="C74" s="10">
        <v>2.75</v>
      </c>
      <c r="D74" s="1"/>
      <c r="E74" s="1"/>
      <c r="F74" s="1"/>
      <c r="G74" s="1"/>
      <c r="H74" s="2"/>
      <c r="I74" s="2"/>
      <c r="J74" s="2"/>
      <c r="K74" s="2"/>
      <c r="L74" s="2"/>
      <c r="M74" s="2"/>
    </row>
    <row r="7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</row>
    <row r="76">
      <c r="A76" s="1"/>
      <c r="B76" s="1"/>
      <c r="C76" s="5"/>
      <c r="D76" s="1"/>
      <c r="E76" s="1"/>
      <c r="F76" s="1"/>
      <c r="G76" s="1"/>
      <c r="H76" s="2"/>
      <c r="I76" s="2"/>
      <c r="J76" s="2"/>
      <c r="K76" s="2"/>
      <c r="L76" s="2"/>
      <c r="M76" s="2"/>
    </row>
    <row r="77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</row>
    <row r="78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</row>
    <row r="79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</row>
    <row r="80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</row>
    <row r="8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</row>
    <row r="82">
      <c r="A82" s="11" t="s">
        <v>68</v>
      </c>
      <c r="B82" s="12"/>
      <c r="C82" s="13">
        <f>SUM(C66:C78)</f>
        <v>15.67</v>
      </c>
      <c r="D82" s="1"/>
      <c r="E82" s="1"/>
      <c r="F82" s="1"/>
      <c r="G82" s="1"/>
      <c r="H82" s="2"/>
      <c r="I82" s="2"/>
      <c r="J82" s="2"/>
      <c r="K82" s="2"/>
      <c r="L82" s="2"/>
      <c r="M82" s="2"/>
    </row>
    <row r="83">
      <c r="A83" s="4" t="s">
        <v>42</v>
      </c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</row>
    <row r="84">
      <c r="A84" s="6" t="s">
        <v>43</v>
      </c>
      <c r="B84" s="6" t="s">
        <v>44</v>
      </c>
      <c r="C84" s="6" t="s">
        <v>45</v>
      </c>
      <c r="D84" s="1"/>
      <c r="E84" s="1"/>
      <c r="F84" s="1"/>
      <c r="G84" s="1"/>
      <c r="H84" s="2"/>
      <c r="I84" s="2"/>
      <c r="J84" s="2"/>
      <c r="K84" s="2"/>
      <c r="L84" s="2"/>
      <c r="M84" s="2"/>
    </row>
    <row r="85">
      <c r="A85" s="16">
        <v>0.09</v>
      </c>
      <c r="B85" s="15">
        <f>C82-C85</f>
        <v>1.29</v>
      </c>
      <c r="C85" s="15">
        <f>9.33+5.05</f>
        <v>14.38</v>
      </c>
      <c r="D85" s="1"/>
      <c r="E85" s="1"/>
      <c r="F85" s="1"/>
      <c r="G85" s="1"/>
      <c r="H85" s="2"/>
      <c r="I85" s="2"/>
      <c r="J85" s="2"/>
      <c r="K85" s="2"/>
      <c r="L85" s="2"/>
      <c r="M85" s="2"/>
    </row>
    <row r="86">
      <c r="A86" s="17" t="s">
        <v>46</v>
      </c>
      <c r="B86" s="18"/>
      <c r="C86" s="19">
        <f>C85</f>
        <v>14.38</v>
      </c>
      <c r="D86" s="1"/>
      <c r="E86" s="1"/>
      <c r="F86" s="1"/>
      <c r="G86" s="1"/>
      <c r="H86" s="2"/>
      <c r="I86" s="2"/>
      <c r="J86" s="2"/>
      <c r="K86" s="2"/>
      <c r="L86" s="2"/>
      <c r="M86" s="2"/>
    </row>
    <row r="87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</row>
    <row r="88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</row>
    <row r="89">
      <c r="A89" s="2"/>
      <c r="B89" s="2"/>
      <c r="C89" s="2"/>
      <c r="D89" s="1"/>
      <c r="E89" s="1"/>
      <c r="F89" s="1"/>
      <c r="G89" s="1"/>
      <c r="H89" s="1"/>
      <c r="I89" s="2"/>
      <c r="J89" s="2"/>
      <c r="K89" s="2"/>
      <c r="L89" s="2"/>
      <c r="M8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6.38"/>
    <col customWidth="1" min="3" max="3" width="12.75"/>
    <col customWidth="1" min="4" max="4" width="15.13"/>
    <col customWidth="1" min="5" max="5" width="18.25"/>
    <col customWidth="1" min="6" max="6" width="37.13"/>
    <col customWidth="1" min="7" max="7" width="14.75"/>
    <col customWidth="1" min="8" max="8" width="13.38"/>
  </cols>
  <sheetData>
    <row r="1">
      <c r="A1" s="34"/>
      <c r="B1" s="35"/>
      <c r="C1" s="35"/>
      <c r="D1" s="35"/>
      <c r="H1" s="36"/>
      <c r="I1" s="36"/>
      <c r="J1" s="36"/>
      <c r="K1" s="36"/>
      <c r="L1" s="36"/>
      <c r="M1" s="36"/>
    </row>
    <row r="2">
      <c r="A2" s="34"/>
      <c r="B2" s="37" t="s">
        <v>69</v>
      </c>
      <c r="C2" s="35"/>
      <c r="D2" s="35"/>
      <c r="I2" s="36"/>
      <c r="J2" s="36"/>
      <c r="K2" s="36"/>
      <c r="L2" s="36"/>
      <c r="M2" s="36"/>
    </row>
    <row r="3">
      <c r="A3" s="34" t="s">
        <v>70</v>
      </c>
      <c r="B3" s="35"/>
      <c r="C3" s="35"/>
      <c r="D3" s="35"/>
      <c r="F3" s="38" t="s">
        <v>71</v>
      </c>
      <c r="G3" s="35"/>
      <c r="H3" s="39"/>
      <c r="I3" s="36"/>
      <c r="J3" s="36"/>
      <c r="K3" s="36"/>
      <c r="L3" s="36"/>
      <c r="M3" s="36"/>
    </row>
    <row r="4">
      <c r="A4" s="34"/>
      <c r="B4" s="34" t="s">
        <v>48</v>
      </c>
      <c r="C4" s="35"/>
      <c r="D4" s="35"/>
      <c r="F4" s="34"/>
      <c r="G4" s="34" t="s">
        <v>4</v>
      </c>
      <c r="H4" s="40"/>
      <c r="I4" s="36"/>
      <c r="J4" s="36"/>
      <c r="M4" s="36"/>
    </row>
    <row r="5">
      <c r="A5" s="34" t="s">
        <v>5</v>
      </c>
      <c r="B5" s="35"/>
      <c r="C5" s="35"/>
      <c r="D5" s="35"/>
      <c r="E5" s="35"/>
      <c r="F5" s="34" t="s">
        <v>5</v>
      </c>
      <c r="G5" s="35"/>
      <c r="H5" s="40"/>
      <c r="I5" s="36"/>
      <c r="J5" s="36"/>
      <c r="M5" s="36"/>
    </row>
    <row r="6">
      <c r="A6" s="39" t="s">
        <v>6</v>
      </c>
      <c r="B6" s="35"/>
      <c r="C6" s="39" t="s">
        <v>7</v>
      </c>
      <c r="D6" s="35"/>
      <c r="E6" s="35"/>
      <c r="F6" s="39" t="s">
        <v>6</v>
      </c>
      <c r="G6" s="35"/>
      <c r="H6" s="40" t="s">
        <v>7</v>
      </c>
      <c r="I6" s="36"/>
      <c r="J6" s="41"/>
      <c r="M6" s="41"/>
    </row>
    <row r="7">
      <c r="A7" s="42" t="s">
        <v>72</v>
      </c>
      <c r="D7" s="40"/>
      <c r="E7" s="35"/>
      <c r="F7" s="42" t="s">
        <v>73</v>
      </c>
      <c r="I7" s="36"/>
    </row>
    <row r="8">
      <c r="A8" s="34" t="s">
        <v>55</v>
      </c>
      <c r="B8" s="34"/>
      <c r="C8" s="40">
        <v>1.39</v>
      </c>
      <c r="D8" s="40"/>
      <c r="E8" s="35"/>
      <c r="F8" s="34" t="s">
        <v>74</v>
      </c>
      <c r="G8" s="34"/>
      <c r="H8" s="40">
        <v>2.76</v>
      </c>
      <c r="I8" s="36"/>
    </row>
    <row r="9">
      <c r="A9" s="34" t="s">
        <v>75</v>
      </c>
      <c r="B9" s="34"/>
      <c r="C9" s="40">
        <v>2.19</v>
      </c>
      <c r="D9" s="40"/>
      <c r="E9" s="35"/>
      <c r="F9" s="34" t="s">
        <v>18</v>
      </c>
      <c r="G9" s="34"/>
      <c r="H9" s="40">
        <v>2.19</v>
      </c>
      <c r="I9" s="36"/>
    </row>
    <row r="10">
      <c r="A10" s="34" t="s">
        <v>76</v>
      </c>
      <c r="B10" s="34"/>
      <c r="C10" s="40">
        <v>3.5</v>
      </c>
      <c r="D10" s="40"/>
      <c r="E10" s="35"/>
      <c r="F10" s="34" t="s">
        <v>24</v>
      </c>
      <c r="G10" s="34"/>
      <c r="H10" s="40">
        <v>2.19</v>
      </c>
      <c r="I10" s="36"/>
    </row>
    <row r="11">
      <c r="A11" s="34" t="s">
        <v>77</v>
      </c>
      <c r="B11" s="34"/>
      <c r="C11" s="40">
        <v>2.5</v>
      </c>
      <c r="D11" s="40"/>
      <c r="E11" s="35"/>
      <c r="F11" s="34" t="s">
        <v>19</v>
      </c>
      <c r="G11" s="34"/>
      <c r="H11" s="40">
        <v>-0.2</v>
      </c>
      <c r="I11" s="36"/>
    </row>
    <row r="12">
      <c r="A12" s="34" t="s">
        <v>78</v>
      </c>
      <c r="B12" s="34"/>
      <c r="C12" s="40">
        <v>5.78</v>
      </c>
      <c r="D12" s="40"/>
      <c r="E12" s="35"/>
      <c r="F12" s="34" t="s">
        <v>79</v>
      </c>
      <c r="G12" s="34"/>
      <c r="H12" s="40">
        <v>5.18</v>
      </c>
      <c r="I12" s="36"/>
    </row>
    <row r="13">
      <c r="A13" s="34" t="s">
        <v>80</v>
      </c>
      <c r="B13" s="34"/>
      <c r="C13" s="40">
        <v>2.89</v>
      </c>
      <c r="D13" s="40"/>
      <c r="E13" s="35"/>
      <c r="F13" s="34" t="s">
        <v>14</v>
      </c>
      <c r="G13" s="34"/>
      <c r="H13" s="40">
        <v>2.86</v>
      </c>
      <c r="I13" s="36"/>
    </row>
    <row r="14">
      <c r="A14" s="34" t="s">
        <v>81</v>
      </c>
      <c r="B14" s="34"/>
      <c r="C14" s="40">
        <v>0.99</v>
      </c>
      <c r="D14" s="40"/>
      <c r="E14" s="35"/>
      <c r="F14" s="34" t="s">
        <v>82</v>
      </c>
      <c r="G14" s="34"/>
      <c r="H14" s="40">
        <v>2.99</v>
      </c>
      <c r="I14" s="36"/>
    </row>
    <row r="15">
      <c r="A15" s="34" t="s">
        <v>83</v>
      </c>
      <c r="B15" s="34"/>
      <c r="C15" s="40">
        <v>2.79</v>
      </c>
      <c r="D15" s="35"/>
      <c r="E15" s="35"/>
      <c r="F15" s="34" t="s">
        <v>25</v>
      </c>
      <c r="G15" s="34"/>
      <c r="H15" s="40">
        <v>1.58</v>
      </c>
      <c r="I15" s="36"/>
    </row>
    <row r="16">
      <c r="A16" s="34" t="s">
        <v>84</v>
      </c>
      <c r="B16" s="34"/>
      <c r="C16" s="40">
        <v>-0.6</v>
      </c>
      <c r="D16" s="35"/>
      <c r="E16" s="35"/>
      <c r="I16" s="36"/>
    </row>
    <row r="17">
      <c r="A17" s="35"/>
      <c r="B17" s="35"/>
      <c r="C17" s="35"/>
      <c r="D17" s="35"/>
      <c r="E17" s="35"/>
      <c r="F17" s="42" t="s">
        <v>85</v>
      </c>
      <c r="I17" s="36"/>
    </row>
    <row r="18">
      <c r="A18" s="35"/>
      <c r="B18" s="35"/>
      <c r="C18" s="35"/>
      <c r="D18" s="35"/>
      <c r="E18" s="35"/>
      <c r="F18" s="34" t="s">
        <v>86</v>
      </c>
      <c r="G18" s="34"/>
      <c r="H18" s="40">
        <v>5.78</v>
      </c>
      <c r="I18" s="36"/>
      <c r="K18" s="35"/>
    </row>
    <row r="19">
      <c r="A19" s="35"/>
      <c r="B19" s="35"/>
      <c r="C19" s="35"/>
      <c r="D19" s="35"/>
      <c r="E19" s="35"/>
      <c r="F19" s="34" t="s">
        <v>51</v>
      </c>
      <c r="G19" s="34"/>
      <c r="H19" s="40">
        <v>2.89</v>
      </c>
      <c r="I19" s="36"/>
      <c r="K19" s="35"/>
    </row>
    <row r="20">
      <c r="A20" s="35"/>
      <c r="B20" s="35"/>
      <c r="C20" s="35"/>
      <c r="D20" s="35"/>
      <c r="E20" s="35"/>
      <c r="F20" s="34" t="s">
        <v>87</v>
      </c>
      <c r="G20" s="34"/>
      <c r="H20" s="40">
        <v>2.89</v>
      </c>
      <c r="I20" s="36"/>
      <c r="K20" s="35"/>
    </row>
    <row r="21">
      <c r="A21" s="35"/>
      <c r="B21" s="35"/>
      <c r="C21" s="35"/>
      <c r="D21" s="35"/>
      <c r="E21" s="35"/>
      <c r="F21" s="34"/>
      <c r="G21" s="35"/>
      <c r="H21" s="40"/>
      <c r="I21" s="36"/>
    </row>
    <row r="22">
      <c r="A22" s="35"/>
      <c r="B22" s="35"/>
      <c r="C22" s="35"/>
      <c r="D22" s="35"/>
      <c r="E22" s="35"/>
      <c r="F22" s="34"/>
      <c r="G22" s="35"/>
      <c r="H22" s="40"/>
      <c r="I22" s="36"/>
    </row>
    <row r="23">
      <c r="A23" s="43" t="s">
        <v>40</v>
      </c>
      <c r="B23" s="44"/>
      <c r="C23" s="45">
        <f>SUM(C8:C21)</f>
        <v>21.43</v>
      </c>
      <c r="D23" s="35"/>
      <c r="E23" s="35"/>
      <c r="F23" s="43" t="s">
        <v>41</v>
      </c>
      <c r="G23" s="44"/>
      <c r="H23" s="46">
        <f>SUM(H8:H22)</f>
        <v>31.11</v>
      </c>
      <c r="I23" s="36"/>
    </row>
    <row r="24">
      <c r="A24" s="34" t="s">
        <v>42</v>
      </c>
      <c r="B24" s="35"/>
      <c r="C24" s="35"/>
      <c r="D24" s="35"/>
      <c r="E24" s="35"/>
      <c r="F24" s="34" t="s">
        <v>42</v>
      </c>
      <c r="G24" s="35"/>
      <c r="H24" s="35"/>
      <c r="I24" s="36"/>
    </row>
    <row r="25">
      <c r="A25" s="39" t="s">
        <v>43</v>
      </c>
      <c r="B25" s="39" t="s">
        <v>44</v>
      </c>
      <c r="C25" s="39" t="s">
        <v>45</v>
      </c>
      <c r="D25" s="35"/>
      <c r="E25" s="35"/>
      <c r="F25" s="39" t="s">
        <v>43</v>
      </c>
      <c r="G25" s="39" t="s">
        <v>44</v>
      </c>
      <c r="H25" s="39" t="s">
        <v>45</v>
      </c>
      <c r="I25" s="36"/>
    </row>
    <row r="26">
      <c r="A26" s="47">
        <v>0.09</v>
      </c>
      <c r="B26" s="40">
        <v>1.77</v>
      </c>
      <c r="C26" s="40">
        <v>19.66</v>
      </c>
      <c r="D26" s="35"/>
      <c r="E26" s="35"/>
      <c r="F26" s="47">
        <v>0.09</v>
      </c>
      <c r="G26" s="40">
        <f>1.61+0.95</f>
        <v>2.56</v>
      </c>
      <c r="H26" s="40">
        <f>10.61+17.94</f>
        <v>28.55</v>
      </c>
      <c r="I26" s="36"/>
      <c r="J26" s="36"/>
      <c r="K26" s="36"/>
      <c r="L26" s="36"/>
      <c r="M26" s="36"/>
    </row>
    <row r="27">
      <c r="A27" s="48" t="s">
        <v>46</v>
      </c>
      <c r="B27" s="49"/>
      <c r="C27" s="50">
        <f>C26</f>
        <v>19.66</v>
      </c>
      <c r="D27" s="35"/>
      <c r="E27" s="35"/>
      <c r="F27" s="48" t="s">
        <v>46</v>
      </c>
      <c r="G27" s="49"/>
      <c r="H27" s="50">
        <f>H26</f>
        <v>28.55</v>
      </c>
      <c r="I27" s="36"/>
      <c r="J27" s="36"/>
      <c r="K27" s="36"/>
      <c r="L27" s="36"/>
      <c r="M27" s="36"/>
    </row>
    <row r="28">
      <c r="A28" s="51"/>
      <c r="B28" s="51"/>
      <c r="C28" s="51"/>
      <c r="D28" s="35"/>
      <c r="E28" s="35"/>
      <c r="I28" s="36"/>
      <c r="J28" s="36"/>
      <c r="K28" s="36"/>
      <c r="L28" s="36"/>
      <c r="M28" s="36"/>
    </row>
    <row r="29">
      <c r="A29" s="34" t="s">
        <v>88</v>
      </c>
      <c r="B29" s="34" t="s">
        <v>4</v>
      </c>
      <c r="C29" s="35"/>
      <c r="D29" s="35"/>
      <c r="E29" s="35"/>
      <c r="F29" s="38" t="s">
        <v>89</v>
      </c>
      <c r="G29" s="34" t="s">
        <v>48</v>
      </c>
      <c r="H29" s="39"/>
      <c r="I29" s="36"/>
      <c r="J29" s="36"/>
      <c r="K29" s="36"/>
      <c r="L29" s="36"/>
      <c r="M29" s="36"/>
    </row>
    <row r="30">
      <c r="A30" s="34" t="s">
        <v>72</v>
      </c>
      <c r="B30" s="35"/>
      <c r="C30" s="35"/>
      <c r="D30" s="35"/>
      <c r="E30" s="35"/>
      <c r="F30" s="34" t="s">
        <v>90</v>
      </c>
      <c r="G30" s="35"/>
      <c r="H30" s="40"/>
      <c r="I30" s="36"/>
      <c r="J30" s="36"/>
      <c r="K30" s="36"/>
      <c r="L30" s="36"/>
      <c r="M30" s="36"/>
    </row>
    <row r="31">
      <c r="A31" s="34" t="s">
        <v>5</v>
      </c>
      <c r="B31" s="35"/>
      <c r="C31" s="35"/>
      <c r="D31" s="35"/>
      <c r="E31" s="35"/>
      <c r="F31" s="34" t="s">
        <v>5</v>
      </c>
      <c r="G31" s="35"/>
      <c r="H31" s="40"/>
      <c r="I31" s="36"/>
      <c r="J31" s="36"/>
      <c r="K31" s="36"/>
      <c r="L31" s="36"/>
      <c r="M31" s="36"/>
    </row>
    <row r="32">
      <c r="A32" s="39" t="s">
        <v>6</v>
      </c>
      <c r="B32" s="35"/>
      <c r="C32" s="39" t="s">
        <v>7</v>
      </c>
      <c r="D32" s="35"/>
      <c r="E32" s="35"/>
      <c r="F32" s="39" t="s">
        <v>6</v>
      </c>
      <c r="G32" s="34"/>
      <c r="H32" s="34" t="s">
        <v>7</v>
      </c>
      <c r="I32" s="35"/>
      <c r="J32" s="35"/>
      <c r="K32" s="35"/>
      <c r="L32" s="35"/>
      <c r="M32" s="35"/>
    </row>
    <row r="33">
      <c r="A33" s="34" t="s">
        <v>91</v>
      </c>
      <c r="B33" s="35"/>
      <c r="C33" s="40">
        <v>2.99</v>
      </c>
      <c r="D33" s="40"/>
      <c r="E33" s="35"/>
      <c r="F33" s="34" t="s">
        <v>10</v>
      </c>
      <c r="G33" s="34"/>
      <c r="H33" s="40">
        <v>1.38</v>
      </c>
      <c r="I33" s="36"/>
      <c r="J33" s="36"/>
      <c r="K33" s="36"/>
      <c r="L33" s="36"/>
      <c r="M33" s="36"/>
    </row>
    <row r="34">
      <c r="A34" s="34" t="s">
        <v>92</v>
      </c>
      <c r="B34" s="35"/>
      <c r="C34" s="40">
        <v>2.35</v>
      </c>
      <c r="D34" s="40"/>
      <c r="E34" s="35"/>
      <c r="F34" s="34" t="s">
        <v>93</v>
      </c>
      <c r="G34" s="34"/>
      <c r="H34" s="40">
        <v>2.89</v>
      </c>
      <c r="I34" s="36"/>
      <c r="J34" s="36"/>
      <c r="K34" s="36"/>
      <c r="L34" s="36"/>
      <c r="M34" s="36"/>
    </row>
    <row r="35">
      <c r="A35" s="34" t="s">
        <v>94</v>
      </c>
      <c r="B35" s="35"/>
      <c r="C35" s="40">
        <v>-0.36</v>
      </c>
      <c r="D35" s="35"/>
      <c r="E35" s="35"/>
      <c r="F35" s="34" t="s">
        <v>95</v>
      </c>
      <c r="G35" s="34"/>
      <c r="H35" s="40">
        <v>8.67</v>
      </c>
      <c r="I35" s="36"/>
      <c r="J35" s="36"/>
      <c r="K35" s="36"/>
      <c r="L35" s="36"/>
      <c r="M35" s="36"/>
    </row>
    <row r="36">
      <c r="A36" s="34" t="s">
        <v>55</v>
      </c>
      <c r="B36" s="35"/>
      <c r="C36" s="40">
        <v>1.39</v>
      </c>
      <c r="D36" s="35"/>
      <c r="E36" s="35"/>
      <c r="F36" s="34" t="s">
        <v>20</v>
      </c>
      <c r="G36" s="34"/>
      <c r="H36" s="40">
        <v>2.32</v>
      </c>
      <c r="I36" s="36"/>
      <c r="J36" s="36"/>
      <c r="K36" s="36"/>
      <c r="L36" s="36"/>
      <c r="M36" s="36"/>
    </row>
    <row r="37">
      <c r="A37" s="34" t="s">
        <v>96</v>
      </c>
      <c r="B37" s="42"/>
      <c r="C37" s="40">
        <v>3.0</v>
      </c>
      <c r="D37" s="35"/>
      <c r="E37" s="35"/>
      <c r="F37" s="34" t="s">
        <v>97</v>
      </c>
      <c r="G37" s="34"/>
      <c r="H37" s="40">
        <v>3.96</v>
      </c>
      <c r="I37" s="36"/>
      <c r="J37" s="36"/>
      <c r="K37" s="36"/>
      <c r="L37" s="36"/>
      <c r="M37" s="36"/>
    </row>
    <row r="38">
      <c r="A38" s="34" t="s">
        <v>87</v>
      </c>
      <c r="B38" s="42"/>
      <c r="C38" s="40">
        <v>2.89</v>
      </c>
      <c r="D38" s="35"/>
      <c r="E38" s="35"/>
      <c r="F38" s="34" t="s">
        <v>98</v>
      </c>
      <c r="G38" s="34"/>
      <c r="H38" s="40">
        <v>0.79</v>
      </c>
      <c r="I38" s="36"/>
      <c r="J38" s="36"/>
      <c r="K38" s="36"/>
      <c r="L38" s="36"/>
      <c r="M38" s="36"/>
    </row>
    <row r="39">
      <c r="A39" s="34" t="s">
        <v>78</v>
      </c>
      <c r="B39" s="42"/>
      <c r="C39" s="40">
        <v>5.78</v>
      </c>
      <c r="D39" s="35"/>
      <c r="E39" s="35"/>
      <c r="F39" s="34"/>
      <c r="G39" s="34"/>
      <c r="H39" s="40"/>
      <c r="I39" s="36"/>
      <c r="J39" s="36"/>
      <c r="K39" s="36"/>
      <c r="L39" s="36"/>
      <c r="M39" s="36"/>
    </row>
    <row r="40">
      <c r="A40" s="34" t="s">
        <v>99</v>
      </c>
      <c r="B40" s="42"/>
      <c r="C40" s="40">
        <v>4.31</v>
      </c>
      <c r="D40" s="35"/>
      <c r="E40" s="35"/>
      <c r="F40" s="34"/>
      <c r="G40" s="34"/>
      <c r="H40" s="40"/>
      <c r="I40" s="36"/>
      <c r="J40" s="36"/>
      <c r="K40" s="36"/>
      <c r="L40" s="36"/>
      <c r="M40" s="36"/>
    </row>
    <row r="41">
      <c r="A41" s="34" t="s">
        <v>81</v>
      </c>
      <c r="B41" s="42"/>
      <c r="C41" s="40">
        <v>0.99</v>
      </c>
      <c r="D41" s="35"/>
      <c r="E41" s="35"/>
      <c r="F41" s="34"/>
      <c r="G41" s="34"/>
      <c r="H41" s="40"/>
      <c r="I41" s="36"/>
      <c r="J41" s="36"/>
      <c r="K41" s="36"/>
      <c r="L41" s="36"/>
      <c r="M41" s="36"/>
    </row>
    <row r="42">
      <c r="A42" s="34" t="s">
        <v>100</v>
      </c>
      <c r="B42" s="42"/>
      <c r="C42" s="40">
        <v>2.89</v>
      </c>
      <c r="D42" s="35"/>
      <c r="E42" s="35"/>
      <c r="F42" s="34"/>
      <c r="G42" s="34"/>
      <c r="H42" s="40"/>
      <c r="I42" s="36"/>
      <c r="J42" s="36"/>
      <c r="K42" s="36"/>
      <c r="L42" s="36"/>
      <c r="M42" s="36"/>
    </row>
    <row r="43">
      <c r="A43" s="34" t="s">
        <v>101</v>
      </c>
      <c r="B43" s="42"/>
      <c r="C43" s="40">
        <v>3.5</v>
      </c>
      <c r="D43" s="35"/>
      <c r="E43" s="35"/>
      <c r="F43" s="34"/>
      <c r="G43" s="34"/>
      <c r="H43" s="40"/>
      <c r="I43" s="36"/>
      <c r="J43" s="36"/>
      <c r="K43" s="36"/>
      <c r="L43" s="36"/>
      <c r="M43" s="36"/>
    </row>
    <row r="44">
      <c r="A44" s="34"/>
      <c r="B44" s="42"/>
      <c r="C44" s="40"/>
      <c r="D44" s="35"/>
      <c r="E44" s="35"/>
      <c r="F44" s="34"/>
      <c r="G44" s="34"/>
      <c r="H44" s="40"/>
      <c r="I44" s="36"/>
      <c r="J44" s="36"/>
      <c r="K44" s="36"/>
      <c r="L44" s="36"/>
      <c r="M44" s="36"/>
    </row>
    <row r="45">
      <c r="A45" s="34"/>
      <c r="B45" s="42"/>
      <c r="C45" s="40"/>
      <c r="D45" s="35"/>
      <c r="E45" s="35"/>
      <c r="F45" s="34"/>
      <c r="G45" s="34"/>
      <c r="H45" s="40"/>
      <c r="I45" s="36"/>
      <c r="J45" s="36"/>
      <c r="K45" s="36"/>
      <c r="L45" s="36"/>
      <c r="M45" s="36"/>
    </row>
    <row r="46">
      <c r="A46" s="34"/>
      <c r="B46" s="42"/>
      <c r="C46" s="40"/>
      <c r="D46" s="35"/>
      <c r="E46" s="35"/>
      <c r="F46" s="34"/>
      <c r="G46" s="34"/>
      <c r="H46" s="40"/>
      <c r="I46" s="36"/>
      <c r="J46" s="36"/>
      <c r="K46" s="36"/>
      <c r="L46" s="36"/>
      <c r="M46" s="36"/>
    </row>
    <row r="47">
      <c r="A47" s="34"/>
      <c r="B47" s="42"/>
      <c r="C47" s="40"/>
      <c r="D47" s="35"/>
      <c r="E47" s="35"/>
      <c r="F47" s="34"/>
      <c r="G47" s="34"/>
      <c r="H47" s="40"/>
      <c r="I47" s="36"/>
      <c r="J47" s="36"/>
      <c r="K47" s="36"/>
      <c r="L47" s="36"/>
      <c r="M47" s="36"/>
    </row>
    <row r="48">
      <c r="A48" s="35"/>
      <c r="B48" s="35"/>
      <c r="C48" s="35"/>
      <c r="D48" s="35"/>
      <c r="E48" s="35"/>
      <c r="F48" s="34"/>
      <c r="G48" s="35"/>
      <c r="H48" s="40"/>
      <c r="I48" s="36"/>
      <c r="J48" s="36"/>
      <c r="K48" s="36"/>
      <c r="L48" s="36"/>
      <c r="M48" s="36"/>
    </row>
    <row r="49">
      <c r="A49" s="43" t="s">
        <v>40</v>
      </c>
      <c r="B49" s="44"/>
      <c r="C49" s="45">
        <f>SUM(C33:C47)</f>
        <v>29.73</v>
      </c>
      <c r="D49" s="35"/>
      <c r="E49" s="35"/>
      <c r="F49" s="43" t="s">
        <v>41</v>
      </c>
      <c r="G49" s="44"/>
      <c r="H49" s="46">
        <f>SUM(H33:H48)</f>
        <v>20.01</v>
      </c>
      <c r="I49" s="36"/>
      <c r="J49" s="36"/>
    </row>
    <row r="50">
      <c r="A50" s="34" t="s">
        <v>42</v>
      </c>
      <c r="B50" s="35"/>
      <c r="C50" s="35"/>
      <c r="D50" s="35"/>
      <c r="E50" s="35"/>
      <c r="F50" s="34" t="s">
        <v>42</v>
      </c>
      <c r="G50" s="35"/>
      <c r="H50" s="35"/>
      <c r="I50" s="36"/>
      <c r="J50" s="36"/>
    </row>
    <row r="51">
      <c r="A51" s="39" t="s">
        <v>43</v>
      </c>
      <c r="B51" s="39" t="s">
        <v>44</v>
      </c>
      <c r="C51" s="39" t="s">
        <v>45</v>
      </c>
      <c r="D51" s="35"/>
      <c r="E51" s="35"/>
      <c r="F51" s="39" t="s">
        <v>43</v>
      </c>
      <c r="G51" s="39" t="s">
        <v>44</v>
      </c>
      <c r="H51" s="39" t="s">
        <v>45</v>
      </c>
      <c r="I51" s="36"/>
      <c r="J51" s="36"/>
    </row>
    <row r="52">
      <c r="A52" s="47">
        <v>0.09</v>
      </c>
      <c r="B52" s="40">
        <v>2.45</v>
      </c>
      <c r="C52" s="40">
        <v>27.28</v>
      </c>
      <c r="D52" s="35"/>
      <c r="E52" s="35"/>
      <c r="F52" s="47">
        <v>0.09</v>
      </c>
      <c r="G52" s="40">
        <v>1.65</v>
      </c>
      <c r="H52" s="40">
        <v>18.36</v>
      </c>
      <c r="I52" s="36"/>
      <c r="J52" s="36"/>
    </row>
    <row r="53">
      <c r="A53" s="48" t="s">
        <v>46</v>
      </c>
      <c r="B53" s="49"/>
      <c r="C53" s="49">
        <f>SUM(C52)</f>
        <v>27.28</v>
      </c>
      <c r="D53" s="40"/>
      <c r="E53" s="35"/>
      <c r="F53" s="48" t="s">
        <v>46</v>
      </c>
      <c r="G53" s="49"/>
      <c r="H53" s="50">
        <f>H52</f>
        <v>18.36</v>
      </c>
      <c r="I53" s="36"/>
      <c r="J53" s="36"/>
    </row>
    <row r="54">
      <c r="A54" s="51"/>
      <c r="B54" s="51"/>
      <c r="C54" s="51"/>
      <c r="E54" s="35"/>
      <c r="F54" s="52"/>
      <c r="G54" s="53"/>
      <c r="H54" s="54"/>
      <c r="I54" s="36"/>
      <c r="J54" s="36"/>
      <c r="K54" s="36"/>
      <c r="L54" s="36"/>
      <c r="M54" s="36"/>
    </row>
    <row r="55">
      <c r="A55" s="34" t="s">
        <v>102</v>
      </c>
      <c r="B55" s="34" t="s">
        <v>103</v>
      </c>
      <c r="C55" s="35"/>
      <c r="D55" s="35"/>
      <c r="E55" s="35"/>
      <c r="F55" s="51"/>
      <c r="G55" s="51"/>
      <c r="H55" s="51"/>
      <c r="I55" s="35"/>
      <c r="J55" s="35"/>
      <c r="K55" s="35"/>
      <c r="L55" s="35"/>
      <c r="M55" s="35"/>
    </row>
    <row r="56">
      <c r="A56" s="34" t="s">
        <v>104</v>
      </c>
      <c r="B56" s="35"/>
      <c r="C56" s="35"/>
      <c r="D56" s="35"/>
      <c r="E56" s="35"/>
    </row>
    <row r="57">
      <c r="A57" s="34" t="s">
        <v>5</v>
      </c>
      <c r="B57" s="35"/>
      <c r="C57" s="35"/>
      <c r="D57" s="35"/>
      <c r="E57" s="35"/>
      <c r="F57" s="35"/>
      <c r="G57" s="35"/>
      <c r="H57" s="36"/>
      <c r="I57" s="36"/>
      <c r="J57" s="36"/>
      <c r="K57" s="36"/>
      <c r="L57" s="36"/>
      <c r="M57" s="36"/>
    </row>
    <row r="58">
      <c r="A58" s="39" t="s">
        <v>6</v>
      </c>
      <c r="B58" s="35"/>
      <c r="C58" s="39" t="s">
        <v>7</v>
      </c>
      <c r="D58" s="35"/>
      <c r="E58" s="35"/>
      <c r="F58" s="35"/>
      <c r="G58" s="35"/>
      <c r="H58" s="36"/>
      <c r="I58" s="36"/>
      <c r="J58" s="36"/>
      <c r="K58" s="36"/>
      <c r="L58" s="36"/>
      <c r="M58" s="36"/>
    </row>
    <row r="59">
      <c r="A59" s="34" t="s">
        <v>105</v>
      </c>
      <c r="B59" s="34"/>
      <c r="C59" s="40">
        <v>2.07</v>
      </c>
      <c r="D59" s="35"/>
      <c r="E59" s="35"/>
      <c r="F59" s="35"/>
      <c r="G59" s="35"/>
      <c r="H59" s="36"/>
      <c r="I59" s="36"/>
      <c r="J59" s="36"/>
      <c r="K59" s="36"/>
      <c r="L59" s="36"/>
      <c r="M59" s="36"/>
    </row>
    <row r="60">
      <c r="A60" s="34" t="s">
        <v>20</v>
      </c>
      <c r="B60" s="34"/>
      <c r="C60" s="40">
        <v>2.32</v>
      </c>
      <c r="D60" s="35"/>
      <c r="E60" s="35"/>
      <c r="F60" s="55" t="s">
        <v>57</v>
      </c>
      <c r="G60" s="56"/>
      <c r="H60" s="57"/>
      <c r="I60" s="36"/>
      <c r="J60" s="36"/>
      <c r="K60" s="36"/>
      <c r="L60" s="36"/>
      <c r="M60" s="36"/>
    </row>
    <row r="61">
      <c r="A61" s="34" t="s">
        <v>61</v>
      </c>
      <c r="B61" s="34"/>
      <c r="C61" s="40">
        <v>1.79</v>
      </c>
      <c r="D61" s="35"/>
      <c r="E61" s="35"/>
      <c r="F61" s="58"/>
      <c r="G61" s="37" t="s">
        <v>58</v>
      </c>
      <c r="H61" s="59" t="s">
        <v>59</v>
      </c>
      <c r="I61" s="36"/>
      <c r="J61" s="60" t="s">
        <v>60</v>
      </c>
      <c r="K61" s="61">
        <f>G62/5</f>
        <v>24.24</v>
      </c>
      <c r="L61" s="36"/>
      <c r="M61" s="36"/>
    </row>
    <row r="62">
      <c r="A62" s="34" t="s">
        <v>106</v>
      </c>
      <c r="B62" s="34"/>
      <c r="C62" s="40">
        <v>1.43</v>
      </c>
      <c r="D62" s="35"/>
      <c r="E62" s="35"/>
      <c r="F62" s="62" t="s">
        <v>62</v>
      </c>
      <c r="G62" s="40">
        <f>120+'Feb Week 3'!G48</f>
        <v>121.2</v>
      </c>
      <c r="H62" s="63">
        <v>120.0</v>
      </c>
      <c r="I62" s="36"/>
      <c r="J62" s="36"/>
      <c r="K62" s="36"/>
      <c r="L62" s="36"/>
      <c r="M62" s="36"/>
    </row>
    <row r="63">
      <c r="A63" s="34" t="s">
        <v>107</v>
      </c>
      <c r="B63" s="34"/>
      <c r="C63" s="40">
        <v>0.49</v>
      </c>
      <c r="D63" s="35"/>
      <c r="E63" s="35"/>
      <c r="F63" s="62" t="s">
        <v>63</v>
      </c>
      <c r="G63" s="64">
        <f>SUM(C23,C49,C75,H23,H49)</f>
        <v>120.61</v>
      </c>
      <c r="H63" s="65">
        <f>SUM(C27,C53,C79,H27,H54)</f>
        <v>92.31</v>
      </c>
      <c r="I63" s="36"/>
      <c r="J63" s="36"/>
      <c r="K63" s="36"/>
      <c r="L63" s="36"/>
      <c r="M63" s="36"/>
    </row>
    <row r="64">
      <c r="A64" s="34" t="s">
        <v>108</v>
      </c>
      <c r="B64" s="34"/>
      <c r="C64" s="40">
        <v>0.49</v>
      </c>
      <c r="D64" s="35"/>
      <c r="E64" s="35"/>
      <c r="F64" s="66" t="s">
        <v>64</v>
      </c>
      <c r="G64" s="67">
        <f t="shared" ref="G64:H64" si="1">G62-G63</f>
        <v>0.59</v>
      </c>
      <c r="H64" s="68">
        <f t="shared" si="1"/>
        <v>27.69</v>
      </c>
      <c r="I64" s="36"/>
      <c r="J64" s="36"/>
      <c r="K64" s="36"/>
      <c r="L64" s="36"/>
      <c r="M64" s="36"/>
    </row>
    <row r="65">
      <c r="A65" s="34" t="s">
        <v>108</v>
      </c>
      <c r="B65" s="34"/>
      <c r="C65" s="40">
        <v>0.49</v>
      </c>
      <c r="D65" s="35"/>
      <c r="E65" s="35"/>
      <c r="I65" s="36"/>
      <c r="J65" s="36"/>
      <c r="K65" s="36"/>
      <c r="L65" s="36"/>
      <c r="M65" s="36"/>
    </row>
    <row r="66">
      <c r="A66" s="34" t="s">
        <v>109</v>
      </c>
      <c r="B66" s="34"/>
      <c r="C66" s="40">
        <v>0.7</v>
      </c>
      <c r="D66" s="35"/>
      <c r="E66" s="35"/>
      <c r="F66" s="35"/>
      <c r="G66" s="35"/>
      <c r="H66" s="36"/>
      <c r="I66" s="36"/>
      <c r="J66" s="36"/>
      <c r="K66" s="36"/>
      <c r="L66" s="36"/>
      <c r="M66" s="36"/>
    </row>
    <row r="67">
      <c r="A67" s="34" t="s">
        <v>110</v>
      </c>
      <c r="B67" s="34"/>
      <c r="C67" s="40">
        <v>0.99</v>
      </c>
      <c r="D67" s="35"/>
      <c r="E67" s="35"/>
      <c r="F67" s="35"/>
      <c r="G67" s="35"/>
      <c r="H67" s="36"/>
      <c r="I67" s="36"/>
      <c r="J67" s="36"/>
      <c r="K67" s="36"/>
      <c r="L67" s="36"/>
      <c r="M67" s="36"/>
    </row>
    <row r="68">
      <c r="A68" s="34" t="s">
        <v>111</v>
      </c>
      <c r="B68" s="34"/>
      <c r="C68" s="40">
        <v>7.56</v>
      </c>
      <c r="D68" s="35"/>
      <c r="E68" s="35"/>
      <c r="F68" s="35"/>
      <c r="G68" s="35"/>
      <c r="H68" s="36"/>
      <c r="I68" s="36"/>
      <c r="J68" s="36"/>
      <c r="K68" s="36"/>
      <c r="L68" s="36"/>
      <c r="M68" s="36"/>
    </row>
    <row r="69">
      <c r="A69" s="34"/>
      <c r="B69" s="34"/>
      <c r="C69" s="40"/>
      <c r="D69" s="35"/>
      <c r="E69" s="35"/>
      <c r="F69" s="35"/>
      <c r="G69" s="35"/>
      <c r="H69" s="36"/>
      <c r="I69" s="36"/>
      <c r="J69" s="36"/>
      <c r="K69" s="36"/>
      <c r="L69" s="36"/>
      <c r="M69" s="36"/>
    </row>
    <row r="70">
      <c r="A70" s="34"/>
      <c r="B70" s="34"/>
      <c r="C70" s="34"/>
      <c r="D70" s="35"/>
      <c r="E70" s="35"/>
      <c r="F70" s="35"/>
      <c r="G70" s="35"/>
      <c r="H70" s="36"/>
      <c r="I70" s="36"/>
      <c r="J70" s="36"/>
      <c r="K70" s="36"/>
      <c r="L70" s="36"/>
      <c r="M70" s="36"/>
    </row>
    <row r="71">
      <c r="A71" s="34"/>
      <c r="B71" s="34"/>
      <c r="C71" s="34"/>
      <c r="D71" s="35"/>
      <c r="E71" s="35"/>
      <c r="F71" s="35"/>
      <c r="G71" s="35"/>
      <c r="H71" s="36"/>
      <c r="I71" s="36"/>
      <c r="J71" s="36"/>
      <c r="K71" s="36"/>
      <c r="L71" s="36"/>
      <c r="M71" s="36"/>
    </row>
    <row r="72">
      <c r="A72" s="34"/>
      <c r="B72" s="34"/>
      <c r="C72" s="34"/>
      <c r="D72" s="35"/>
      <c r="E72" s="35"/>
      <c r="F72" s="35"/>
      <c r="G72" s="35"/>
      <c r="H72" s="36"/>
      <c r="I72" s="36"/>
      <c r="J72" s="36"/>
      <c r="K72" s="36"/>
      <c r="L72" s="36"/>
      <c r="M72" s="36"/>
    </row>
    <row r="73">
      <c r="A73" s="34"/>
      <c r="B73" s="34"/>
      <c r="C73" s="34"/>
      <c r="D73" s="35"/>
      <c r="E73" s="35"/>
      <c r="F73" s="35"/>
      <c r="G73" s="35"/>
      <c r="H73" s="36"/>
      <c r="I73" s="36"/>
      <c r="J73" s="36"/>
      <c r="K73" s="36"/>
      <c r="L73" s="36"/>
      <c r="M73" s="36"/>
    </row>
    <row r="74">
      <c r="A74" s="35"/>
      <c r="B74" s="35"/>
      <c r="C74" s="35"/>
      <c r="D74" s="35"/>
      <c r="E74" s="35"/>
      <c r="F74" s="35"/>
      <c r="G74" s="35"/>
      <c r="H74" s="36"/>
      <c r="I74" s="36"/>
      <c r="J74" s="36"/>
      <c r="K74" s="36"/>
      <c r="L74" s="36"/>
      <c r="M74" s="36"/>
    </row>
    <row r="75">
      <c r="A75" s="43" t="s">
        <v>68</v>
      </c>
      <c r="B75" s="44"/>
      <c r="C75" s="45">
        <f>SUM(C59:C71)</f>
        <v>18.33</v>
      </c>
      <c r="D75" s="35"/>
      <c r="E75" s="35"/>
      <c r="F75" s="35"/>
      <c r="G75" s="35"/>
      <c r="H75" s="36"/>
      <c r="I75" s="36"/>
      <c r="J75" s="36"/>
      <c r="K75" s="36"/>
      <c r="L75" s="36"/>
      <c r="M75" s="36"/>
    </row>
    <row r="76">
      <c r="A76" s="34" t="s">
        <v>42</v>
      </c>
      <c r="B76" s="35"/>
      <c r="C76" s="35"/>
      <c r="D76" s="35"/>
      <c r="E76" s="35"/>
      <c r="F76" s="35"/>
      <c r="G76" s="35"/>
      <c r="H76" s="36"/>
      <c r="I76" s="36"/>
      <c r="J76" s="36"/>
      <c r="K76" s="36"/>
      <c r="L76" s="36"/>
      <c r="M76" s="36"/>
    </row>
    <row r="77">
      <c r="A77" s="39" t="s">
        <v>43</v>
      </c>
      <c r="B77" s="39" t="s">
        <v>44</v>
      </c>
      <c r="C77" s="39" t="s">
        <v>45</v>
      </c>
      <c r="D77" s="35"/>
      <c r="E77" s="35"/>
      <c r="F77" s="35"/>
      <c r="G77" s="35"/>
      <c r="H77" s="36"/>
      <c r="I77" s="36"/>
      <c r="J77" s="36"/>
      <c r="K77" s="36"/>
      <c r="L77" s="36"/>
      <c r="M77" s="36"/>
    </row>
    <row r="78">
      <c r="A78" s="47">
        <v>0.09</v>
      </c>
      <c r="B78" s="40">
        <v>1.51</v>
      </c>
      <c r="C78" s="40">
        <v>16.82</v>
      </c>
      <c r="D78" s="35"/>
      <c r="E78" s="35"/>
      <c r="F78" s="35"/>
      <c r="G78" s="35"/>
      <c r="H78" s="36"/>
      <c r="I78" s="36"/>
      <c r="J78" s="36"/>
      <c r="K78" s="36"/>
      <c r="L78" s="36"/>
      <c r="M78" s="36"/>
    </row>
    <row r="79">
      <c r="A79" s="48" t="s">
        <v>46</v>
      </c>
      <c r="B79" s="50"/>
      <c r="C79" s="50">
        <f>C78</f>
        <v>16.82</v>
      </c>
      <c r="D79" s="35"/>
      <c r="E79" s="35"/>
      <c r="F79" s="35"/>
      <c r="G79" s="35"/>
      <c r="H79" s="36"/>
      <c r="I79" s="36"/>
      <c r="J79" s="36"/>
      <c r="K79" s="36"/>
      <c r="L79" s="36"/>
      <c r="M79" s="36"/>
    </row>
    <row r="80">
      <c r="D80" s="35"/>
      <c r="E80" s="35"/>
      <c r="F80" s="35"/>
      <c r="G80" s="35"/>
      <c r="H80" s="36"/>
      <c r="I80" s="36"/>
      <c r="J80" s="36"/>
      <c r="K80" s="36"/>
      <c r="L80" s="36"/>
      <c r="M80" s="36"/>
    </row>
    <row r="81">
      <c r="A81" s="35"/>
      <c r="B81" s="35"/>
      <c r="C81" s="35"/>
      <c r="D81" s="35"/>
      <c r="E81" s="35"/>
      <c r="F81" s="35"/>
      <c r="G81" s="35"/>
      <c r="H81" s="36"/>
      <c r="I81" s="36"/>
      <c r="J81" s="36"/>
      <c r="K81" s="36"/>
      <c r="L81" s="36"/>
      <c r="M81" s="36"/>
    </row>
    <row r="82">
      <c r="A82" s="51"/>
      <c r="B82" s="51"/>
      <c r="C82" s="51"/>
      <c r="D82" s="35"/>
      <c r="E82" s="35"/>
      <c r="F82" s="35"/>
      <c r="G82" s="35"/>
      <c r="H82" s="35"/>
      <c r="I82" s="36"/>
      <c r="J82" s="36"/>
      <c r="K82" s="36"/>
      <c r="L82" s="36"/>
      <c r="M82" s="36"/>
    </row>
  </sheetData>
  <conditionalFormatting sqref="G64:H64">
    <cfRule type="cellIs" dxfId="0" priority="1" operator="greaterThan">
      <formula>0</formula>
    </cfRule>
  </conditionalFormatting>
  <printOptions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6.38"/>
    <col customWidth="1" min="3" max="3" width="12.75"/>
    <col customWidth="1" min="4" max="4" width="15.13"/>
    <col customWidth="1" min="5" max="5" width="18.25"/>
    <col customWidth="1" min="6" max="6" width="37.13"/>
    <col customWidth="1" min="7" max="7" width="14.75"/>
    <col customWidth="1" min="8" max="8" width="13.38"/>
  </cols>
  <sheetData>
    <row r="1">
      <c r="A1" s="34"/>
      <c r="B1" s="35"/>
      <c r="C1" s="35"/>
      <c r="D1" s="35"/>
      <c r="H1" s="36"/>
      <c r="I1" s="36"/>
    </row>
    <row r="2">
      <c r="A2" s="34"/>
      <c r="B2" s="37" t="s">
        <v>112</v>
      </c>
      <c r="C2" s="35"/>
      <c r="D2" s="35"/>
      <c r="I2" s="36"/>
    </row>
    <row r="3">
      <c r="A3" s="34" t="s">
        <v>113</v>
      </c>
      <c r="B3" s="35"/>
      <c r="C3" s="35"/>
      <c r="D3" s="35"/>
      <c r="F3" s="38" t="s">
        <v>114</v>
      </c>
      <c r="G3" s="35"/>
      <c r="H3" s="39"/>
      <c r="I3" s="36"/>
    </row>
    <row r="4">
      <c r="A4" s="35"/>
      <c r="B4" s="35"/>
      <c r="C4" s="35"/>
      <c r="D4" s="35"/>
      <c r="F4" s="34"/>
      <c r="G4" s="35"/>
      <c r="H4" s="40"/>
      <c r="I4" s="36"/>
    </row>
    <row r="5">
      <c r="A5" s="34" t="s">
        <v>5</v>
      </c>
      <c r="B5" s="35"/>
      <c r="C5" s="35"/>
      <c r="D5" s="35"/>
      <c r="E5" s="35"/>
      <c r="F5" s="34" t="s">
        <v>5</v>
      </c>
      <c r="G5" s="35"/>
      <c r="H5" s="40"/>
      <c r="I5" s="36"/>
    </row>
    <row r="6">
      <c r="A6" s="39" t="s">
        <v>6</v>
      </c>
      <c r="B6" s="35"/>
      <c r="C6" s="39" t="s">
        <v>7</v>
      </c>
      <c r="D6" s="35"/>
      <c r="E6" s="35"/>
      <c r="F6" s="39" t="s">
        <v>6</v>
      </c>
      <c r="G6" s="35"/>
      <c r="H6" s="40" t="s">
        <v>7</v>
      </c>
      <c r="I6" s="36"/>
    </row>
    <row r="7">
      <c r="A7" s="34" t="s">
        <v>115</v>
      </c>
      <c r="B7" s="35"/>
      <c r="C7" s="40">
        <v>5.78</v>
      </c>
      <c r="D7" s="35"/>
      <c r="E7" s="35"/>
      <c r="F7" s="34" t="s">
        <v>116</v>
      </c>
      <c r="G7" s="35"/>
      <c r="H7" s="40">
        <v>1.65</v>
      </c>
      <c r="I7" s="36"/>
    </row>
    <row r="8">
      <c r="A8" s="34" t="s">
        <v>87</v>
      </c>
      <c r="B8" s="35"/>
      <c r="C8" s="40">
        <v>2.89</v>
      </c>
      <c r="D8" s="35"/>
      <c r="E8" s="35"/>
      <c r="F8" s="34" t="s">
        <v>55</v>
      </c>
      <c r="G8" s="35"/>
      <c r="H8" s="40">
        <v>2.78</v>
      </c>
      <c r="I8" s="36"/>
    </row>
    <row r="9">
      <c r="A9" s="34" t="s">
        <v>117</v>
      </c>
      <c r="B9" s="35"/>
      <c r="C9" s="40">
        <v>7.0</v>
      </c>
      <c r="D9" s="35"/>
      <c r="E9" s="35"/>
      <c r="F9" s="34" t="s">
        <v>118</v>
      </c>
      <c r="G9" s="35"/>
      <c r="H9" s="40">
        <v>3.5</v>
      </c>
      <c r="I9" s="36"/>
    </row>
    <row r="10">
      <c r="A10" s="34" t="s">
        <v>77</v>
      </c>
      <c r="B10" s="35"/>
      <c r="C10" s="40">
        <v>2.5</v>
      </c>
      <c r="D10" s="35"/>
      <c r="E10" s="35"/>
      <c r="F10" s="34" t="s">
        <v>119</v>
      </c>
      <c r="G10" s="35"/>
      <c r="H10" s="40">
        <v>5.78</v>
      </c>
      <c r="I10" s="36"/>
    </row>
    <row r="11">
      <c r="A11" s="34" t="s">
        <v>120</v>
      </c>
      <c r="B11" s="35"/>
      <c r="C11" s="40">
        <v>3.5</v>
      </c>
      <c r="D11" s="35"/>
      <c r="E11" s="35"/>
      <c r="F11" s="34" t="s">
        <v>121</v>
      </c>
      <c r="G11" s="35"/>
      <c r="H11" s="40">
        <v>1.69</v>
      </c>
      <c r="I11" s="36"/>
    </row>
    <row r="12">
      <c r="A12" s="35"/>
      <c r="B12" s="35"/>
      <c r="C12" s="35"/>
      <c r="D12" s="35"/>
      <c r="E12" s="35"/>
      <c r="F12" s="34" t="s">
        <v>87</v>
      </c>
      <c r="G12" s="35"/>
      <c r="H12" s="40">
        <v>2.89</v>
      </c>
      <c r="I12" s="36"/>
    </row>
    <row r="13">
      <c r="A13" s="43" t="s">
        <v>40</v>
      </c>
      <c r="B13" s="44"/>
      <c r="C13" s="45">
        <f>SUM(C7:C11)</f>
        <v>21.67</v>
      </c>
      <c r="D13" s="35"/>
      <c r="E13" s="35"/>
      <c r="F13" s="34" t="s">
        <v>101</v>
      </c>
      <c r="G13" s="35"/>
      <c r="H13" s="40">
        <v>3.5</v>
      </c>
      <c r="I13" s="36"/>
    </row>
    <row r="14">
      <c r="A14" s="34" t="s">
        <v>42</v>
      </c>
      <c r="B14" s="35"/>
      <c r="C14" s="35"/>
      <c r="D14" s="35"/>
      <c r="E14" s="35"/>
      <c r="F14" s="34" t="s">
        <v>81</v>
      </c>
      <c r="G14" s="69"/>
      <c r="H14" s="69">
        <v>0.99</v>
      </c>
      <c r="I14" s="36"/>
    </row>
    <row r="15">
      <c r="A15" s="39" t="s">
        <v>43</v>
      </c>
      <c r="B15" s="39" t="s">
        <v>44</v>
      </c>
      <c r="C15" s="39" t="s">
        <v>45</v>
      </c>
      <c r="D15" s="35"/>
      <c r="E15" s="35"/>
      <c r="F15" s="35"/>
      <c r="G15" s="35"/>
      <c r="H15" s="35"/>
      <c r="I15" s="36"/>
    </row>
    <row r="16">
      <c r="A16" s="47">
        <v>0.09</v>
      </c>
      <c r="B16" s="40">
        <v>1.79</v>
      </c>
      <c r="C16" s="40">
        <v>19.88</v>
      </c>
      <c r="D16" s="35"/>
      <c r="E16" s="35"/>
      <c r="F16" s="43" t="s">
        <v>41</v>
      </c>
      <c r="G16" s="44"/>
      <c r="H16" s="46">
        <v>22.78</v>
      </c>
      <c r="I16" s="36"/>
    </row>
    <row r="17">
      <c r="A17" s="48" t="s">
        <v>46</v>
      </c>
      <c r="B17" s="49"/>
      <c r="C17" s="50">
        <v>19.88</v>
      </c>
      <c r="D17" s="35"/>
      <c r="E17" s="35"/>
      <c r="F17" s="70"/>
      <c r="G17" s="71"/>
      <c r="H17" s="72"/>
      <c r="I17" s="36"/>
    </row>
    <row r="18">
      <c r="A18" s="51"/>
      <c r="B18" s="51"/>
      <c r="C18" s="51"/>
      <c r="D18" s="35"/>
      <c r="E18" s="35"/>
      <c r="F18" s="34" t="s">
        <v>42</v>
      </c>
      <c r="G18" s="35"/>
      <c r="H18" s="35"/>
      <c r="I18" s="36"/>
    </row>
    <row r="19">
      <c r="A19" s="34" t="s">
        <v>122</v>
      </c>
      <c r="B19" s="35"/>
      <c r="C19" s="35"/>
      <c r="D19" s="35"/>
      <c r="E19" s="35"/>
      <c r="F19" s="39" t="s">
        <v>43</v>
      </c>
      <c r="G19" s="39" t="s">
        <v>44</v>
      </c>
      <c r="H19" s="39" t="s">
        <v>45</v>
      </c>
      <c r="I19" s="36"/>
    </row>
    <row r="20">
      <c r="A20" s="35"/>
      <c r="B20" s="35"/>
      <c r="C20" s="35"/>
      <c r="D20" s="35"/>
      <c r="E20" s="35"/>
      <c r="F20" s="47">
        <v>0.09</v>
      </c>
      <c r="G20" s="40">
        <v>1.88</v>
      </c>
      <c r="H20" s="40">
        <v>20.9</v>
      </c>
      <c r="I20" s="36"/>
    </row>
    <row r="21">
      <c r="A21" s="34" t="s">
        <v>5</v>
      </c>
      <c r="B21" s="35"/>
      <c r="C21" s="35"/>
      <c r="D21" s="35"/>
      <c r="E21" s="35"/>
      <c r="F21" s="48" t="s">
        <v>46</v>
      </c>
      <c r="G21" s="49"/>
      <c r="H21" s="50">
        <v>20.9</v>
      </c>
      <c r="I21" s="36"/>
    </row>
    <row r="22">
      <c r="A22" s="39" t="s">
        <v>6</v>
      </c>
      <c r="B22" s="35"/>
      <c r="C22" s="39" t="s">
        <v>7</v>
      </c>
      <c r="D22" s="35"/>
      <c r="E22" s="35"/>
      <c r="F22" s="51"/>
      <c r="G22" s="51"/>
      <c r="H22" s="51"/>
      <c r="I22" s="35"/>
    </row>
    <row r="23">
      <c r="A23" s="34" t="s">
        <v>123</v>
      </c>
      <c r="B23" s="35"/>
      <c r="C23" s="40"/>
      <c r="D23" s="40">
        <v>1.39</v>
      </c>
      <c r="E23" s="35"/>
      <c r="F23" s="38" t="s">
        <v>124</v>
      </c>
      <c r="G23" s="34" t="s">
        <v>125</v>
      </c>
      <c r="H23" s="39"/>
      <c r="I23" s="36"/>
    </row>
    <row r="24">
      <c r="A24" s="34" t="s">
        <v>126</v>
      </c>
      <c r="B24" s="35"/>
      <c r="C24" s="40"/>
      <c r="D24" s="40">
        <v>1.89</v>
      </c>
      <c r="E24" s="35"/>
      <c r="F24" s="34"/>
      <c r="G24" s="35"/>
      <c r="H24" s="40"/>
      <c r="I24" s="36"/>
    </row>
    <row r="25">
      <c r="A25" s="34" t="s">
        <v>100</v>
      </c>
      <c r="B25" s="35"/>
      <c r="C25" s="40">
        <v>2.89</v>
      </c>
      <c r="D25" s="35"/>
      <c r="E25" s="35"/>
      <c r="F25" s="34" t="s">
        <v>5</v>
      </c>
      <c r="G25" s="35"/>
      <c r="H25" s="40"/>
      <c r="I25" s="36"/>
    </row>
    <row r="26">
      <c r="A26" s="34" t="s">
        <v>87</v>
      </c>
      <c r="B26" s="35"/>
      <c r="C26" s="40">
        <v>2.89</v>
      </c>
      <c r="D26" s="35"/>
      <c r="E26" s="35"/>
      <c r="F26" s="39" t="s">
        <v>6</v>
      </c>
      <c r="G26" s="34"/>
      <c r="H26" s="34" t="s">
        <v>7</v>
      </c>
      <c r="I26" s="36"/>
    </row>
    <row r="27">
      <c r="A27" s="34" t="s">
        <v>127</v>
      </c>
      <c r="B27" s="35"/>
      <c r="C27" s="40">
        <v>3.5</v>
      </c>
      <c r="D27" s="35"/>
      <c r="E27" s="35"/>
      <c r="F27" s="34" t="s">
        <v>128</v>
      </c>
      <c r="G27" s="34"/>
      <c r="H27" s="40">
        <v>5.56</v>
      </c>
      <c r="I27" s="36"/>
    </row>
    <row r="28">
      <c r="A28" s="34" t="s">
        <v>129</v>
      </c>
      <c r="B28" s="35"/>
      <c r="C28" s="40">
        <v>2.09</v>
      </c>
      <c r="D28" s="35"/>
      <c r="E28" s="35"/>
      <c r="F28" s="34" t="s">
        <v>130</v>
      </c>
      <c r="G28" s="34"/>
      <c r="H28" s="40">
        <v>1.35</v>
      </c>
      <c r="I28" s="36"/>
    </row>
    <row r="29">
      <c r="A29" s="34" t="s">
        <v>120</v>
      </c>
      <c r="B29" s="35"/>
      <c r="C29" s="40">
        <v>3.5</v>
      </c>
      <c r="D29" s="35"/>
      <c r="E29" s="35"/>
      <c r="F29" s="34" t="s">
        <v>131</v>
      </c>
      <c r="G29" s="34"/>
      <c r="H29" s="40">
        <v>1.99</v>
      </c>
      <c r="I29" s="36"/>
    </row>
    <row r="30">
      <c r="A30" s="34" t="s">
        <v>81</v>
      </c>
      <c r="B30" s="35"/>
      <c r="C30" s="40">
        <v>0.99</v>
      </c>
      <c r="D30" s="35"/>
      <c r="E30" s="35"/>
      <c r="F30" s="34" t="s">
        <v>132</v>
      </c>
      <c r="G30" s="34"/>
      <c r="H30" s="40">
        <v>8.67</v>
      </c>
      <c r="I30" s="36"/>
    </row>
    <row r="31">
      <c r="A31" s="35"/>
      <c r="B31" s="35"/>
      <c r="C31" s="35"/>
      <c r="D31" s="35"/>
      <c r="E31" s="35"/>
      <c r="F31" s="34"/>
      <c r="G31" s="35"/>
      <c r="H31" s="40"/>
      <c r="I31" s="36"/>
    </row>
    <row r="32">
      <c r="A32" s="43" t="s">
        <v>40</v>
      </c>
      <c r="B32" s="44"/>
      <c r="C32" s="45">
        <f>SUM(C23:C30)</f>
        <v>15.86</v>
      </c>
      <c r="D32" s="35"/>
      <c r="E32" s="35"/>
      <c r="F32" s="43" t="s">
        <v>41</v>
      </c>
      <c r="G32" s="44"/>
      <c r="H32" s="46">
        <f>SUM(H27:H30)</f>
        <v>17.57</v>
      </c>
      <c r="I32" s="36"/>
    </row>
    <row r="33">
      <c r="A33" s="34" t="s">
        <v>42</v>
      </c>
      <c r="B33" s="35"/>
      <c r="C33" s="35"/>
      <c r="D33" s="35"/>
      <c r="E33" s="35"/>
      <c r="F33" s="34"/>
      <c r="G33" s="35"/>
      <c r="H33" s="40"/>
      <c r="I33" s="36"/>
    </row>
    <row r="34">
      <c r="A34" s="39" t="s">
        <v>43</v>
      </c>
      <c r="B34" s="39" t="s">
        <v>44</v>
      </c>
      <c r="C34" s="39" t="s">
        <v>45</v>
      </c>
      <c r="D34" s="35"/>
      <c r="E34" s="35"/>
      <c r="F34" s="34" t="s">
        <v>42</v>
      </c>
      <c r="G34" s="35"/>
      <c r="H34" s="35"/>
      <c r="I34" s="36"/>
    </row>
    <row r="35">
      <c r="A35" s="47">
        <v>0.09</v>
      </c>
      <c r="B35" s="40">
        <v>1.31</v>
      </c>
      <c r="C35" s="40">
        <v>14.55</v>
      </c>
      <c r="D35" s="35"/>
      <c r="E35" s="35"/>
      <c r="F35" s="39" t="s">
        <v>43</v>
      </c>
      <c r="G35" s="39" t="s">
        <v>44</v>
      </c>
      <c r="H35" s="39" t="s">
        <v>45</v>
      </c>
      <c r="I35" s="36"/>
    </row>
    <row r="36">
      <c r="A36" s="73" t="s">
        <v>133</v>
      </c>
      <c r="B36" s="40">
        <v>0.57</v>
      </c>
      <c r="D36" s="40">
        <v>2.71</v>
      </c>
      <c r="E36" s="35"/>
      <c r="F36" s="47">
        <v>0.09</v>
      </c>
      <c r="G36" s="40">
        <v>1.45</v>
      </c>
      <c r="H36" s="40">
        <v>16.12</v>
      </c>
      <c r="I36" s="36"/>
    </row>
    <row r="37">
      <c r="A37" s="48" t="s">
        <v>46</v>
      </c>
      <c r="B37" s="49"/>
      <c r="C37" s="49">
        <f>SUM(C35:C36)</f>
        <v>14.55</v>
      </c>
      <c r="E37" s="35"/>
      <c r="F37" s="48" t="s">
        <v>46</v>
      </c>
      <c r="G37" s="49"/>
      <c r="H37" s="50">
        <v>16.12</v>
      </c>
      <c r="I37" s="36"/>
    </row>
    <row r="38">
      <c r="A38" s="51"/>
      <c r="B38" s="51"/>
      <c r="C38" s="51"/>
      <c r="D38" s="35"/>
      <c r="E38" s="35"/>
      <c r="F38" s="51"/>
      <c r="G38" s="51"/>
      <c r="H38" s="51"/>
      <c r="I38" s="35"/>
    </row>
    <row r="39">
      <c r="A39" s="34" t="s">
        <v>134</v>
      </c>
      <c r="B39" s="35"/>
      <c r="C39" s="35"/>
      <c r="D39" s="35"/>
      <c r="E39" s="35"/>
    </row>
    <row r="40">
      <c r="A40" s="35"/>
      <c r="B40" s="35"/>
      <c r="C40" s="35"/>
      <c r="D40" s="35"/>
      <c r="E40" s="35"/>
      <c r="F40" s="35"/>
      <c r="G40" s="35"/>
      <c r="H40" s="36"/>
      <c r="I40" s="36"/>
    </row>
    <row r="41">
      <c r="A41" s="34" t="s">
        <v>5</v>
      </c>
      <c r="B41" s="35"/>
      <c r="C41" s="35"/>
      <c r="D41" s="35"/>
      <c r="E41" s="35"/>
      <c r="F41" s="35"/>
      <c r="G41" s="35"/>
      <c r="H41" s="36"/>
      <c r="I41" s="36"/>
    </row>
    <row r="42">
      <c r="A42" s="39" t="s">
        <v>6</v>
      </c>
      <c r="B42" s="35"/>
      <c r="C42" s="39" t="s">
        <v>7</v>
      </c>
      <c r="D42" s="35"/>
      <c r="E42" s="35"/>
      <c r="F42" s="35"/>
      <c r="G42" s="35"/>
      <c r="H42" s="36"/>
      <c r="I42" s="36"/>
    </row>
    <row r="43">
      <c r="A43" s="34" t="s">
        <v>135</v>
      </c>
      <c r="B43" s="35"/>
      <c r="C43" s="40">
        <v>5.0</v>
      </c>
      <c r="D43" s="35"/>
      <c r="E43" s="35"/>
      <c r="F43" s="35"/>
      <c r="G43" s="35"/>
      <c r="H43" s="36"/>
      <c r="I43" s="36"/>
    </row>
    <row r="44">
      <c r="A44" s="34" t="s">
        <v>136</v>
      </c>
      <c r="B44" s="35"/>
      <c r="C44" s="40">
        <v>1.0</v>
      </c>
      <c r="D44" s="35"/>
      <c r="E44" s="35"/>
      <c r="F44" s="55" t="s">
        <v>57</v>
      </c>
      <c r="G44" s="56"/>
      <c r="H44" s="57"/>
      <c r="I44" s="36"/>
    </row>
    <row r="45">
      <c r="A45" s="34" t="s">
        <v>137</v>
      </c>
      <c r="B45" s="35"/>
      <c r="C45" s="40">
        <v>2.89</v>
      </c>
      <c r="D45" s="35"/>
      <c r="E45" s="35"/>
      <c r="F45" s="58"/>
      <c r="G45" s="37" t="s">
        <v>58</v>
      </c>
      <c r="H45" s="59" t="s">
        <v>59</v>
      </c>
      <c r="I45" s="36"/>
    </row>
    <row r="46">
      <c r="A46" s="34" t="s">
        <v>138</v>
      </c>
      <c r="B46" s="35"/>
      <c r="C46" s="40">
        <v>3.39</v>
      </c>
      <c r="D46" s="35"/>
      <c r="E46" s="35"/>
      <c r="F46" s="62" t="s">
        <v>62</v>
      </c>
      <c r="G46" s="40">
        <v>100.0</v>
      </c>
      <c r="H46" s="63">
        <v>100.0</v>
      </c>
      <c r="I46" s="36"/>
    </row>
    <row r="47">
      <c r="A47" s="34" t="s">
        <v>37</v>
      </c>
      <c r="B47" s="35"/>
      <c r="C47" s="40">
        <v>1.55</v>
      </c>
      <c r="D47" s="35"/>
      <c r="E47" s="35"/>
      <c r="F47" s="62" t="s">
        <v>63</v>
      </c>
      <c r="G47" s="64">
        <f>SUM(C13,C32,C55,H16,H32)</f>
        <v>98.8</v>
      </c>
      <c r="H47" s="65">
        <f>SUM(C17,C37,C60,H21,H37)</f>
        <v>90.64</v>
      </c>
      <c r="I47" s="36"/>
    </row>
    <row r="48">
      <c r="A48" s="34" t="s">
        <v>81</v>
      </c>
      <c r="B48" s="35"/>
      <c r="C48" s="40">
        <v>0.99</v>
      </c>
      <c r="D48" s="35"/>
      <c r="E48" s="35"/>
      <c r="F48" s="66" t="s">
        <v>64</v>
      </c>
      <c r="G48" s="67">
        <f t="shared" ref="G48:H48" si="1">G46-G47</f>
        <v>1.2</v>
      </c>
      <c r="H48" s="68">
        <f t="shared" si="1"/>
        <v>9.36</v>
      </c>
      <c r="I48" s="36"/>
    </row>
    <row r="49">
      <c r="A49" s="34" t="s">
        <v>92</v>
      </c>
      <c r="B49" s="35"/>
      <c r="C49" s="40">
        <v>2.35</v>
      </c>
      <c r="D49" s="35"/>
      <c r="E49" s="35"/>
      <c r="F49" s="35"/>
      <c r="G49" s="35"/>
      <c r="H49" s="36"/>
      <c r="I49" s="36"/>
    </row>
    <row r="50">
      <c r="A50" s="34" t="s">
        <v>94</v>
      </c>
      <c r="B50" s="35"/>
      <c r="C50" s="40">
        <v>-0.36</v>
      </c>
      <c r="D50" s="35"/>
      <c r="E50" s="35"/>
      <c r="F50" s="35"/>
      <c r="G50" s="35"/>
      <c r="H50" s="36"/>
      <c r="I50" s="36"/>
    </row>
    <row r="51">
      <c r="A51" s="34" t="s">
        <v>139</v>
      </c>
      <c r="B51" s="35"/>
      <c r="C51" s="40">
        <v>2.99</v>
      </c>
      <c r="D51" s="35"/>
      <c r="E51" s="35"/>
      <c r="F51" s="35"/>
      <c r="G51" s="35"/>
      <c r="H51" s="36"/>
      <c r="I51" s="36"/>
    </row>
    <row r="52">
      <c r="A52" s="34" t="s">
        <v>140</v>
      </c>
      <c r="B52" s="35"/>
      <c r="C52" s="40">
        <v>-2.38</v>
      </c>
      <c r="D52" s="35"/>
      <c r="E52" s="35"/>
      <c r="F52" s="35"/>
      <c r="G52" s="35"/>
      <c r="H52" s="36"/>
      <c r="I52" s="36"/>
    </row>
    <row r="53">
      <c r="A53" s="34" t="s">
        <v>141</v>
      </c>
      <c r="B53" s="35"/>
      <c r="C53" s="40">
        <v>3.5</v>
      </c>
      <c r="D53" s="35"/>
      <c r="E53" s="35"/>
      <c r="F53" s="35"/>
      <c r="G53" s="35"/>
      <c r="H53" s="36"/>
      <c r="I53" s="36"/>
    </row>
    <row r="54">
      <c r="A54" s="35"/>
      <c r="B54" s="35"/>
      <c r="C54" s="35"/>
      <c r="D54" s="35"/>
      <c r="E54" s="35"/>
      <c r="F54" s="35"/>
      <c r="G54" s="35"/>
      <c r="H54" s="36"/>
      <c r="I54" s="36"/>
    </row>
    <row r="55">
      <c r="A55" s="43" t="s">
        <v>68</v>
      </c>
      <c r="B55" s="44"/>
      <c r="C55" s="45">
        <f>SUM(C43:C53)</f>
        <v>20.92</v>
      </c>
      <c r="D55" s="35"/>
      <c r="E55" s="35"/>
      <c r="F55" s="35"/>
      <c r="G55" s="35"/>
      <c r="H55" s="36"/>
      <c r="I55" s="36"/>
    </row>
    <row r="56">
      <c r="A56" s="34" t="s">
        <v>142</v>
      </c>
      <c r="B56" s="35"/>
      <c r="C56" s="35"/>
      <c r="D56" s="35"/>
      <c r="E56" s="35"/>
      <c r="F56" s="35"/>
      <c r="G56" s="35"/>
      <c r="H56" s="36"/>
      <c r="I56" s="36"/>
    </row>
    <row r="57">
      <c r="A57" s="34" t="s">
        <v>42</v>
      </c>
      <c r="B57" s="35"/>
      <c r="C57" s="35"/>
      <c r="D57" s="35"/>
      <c r="E57" s="35"/>
      <c r="F57" s="35"/>
      <c r="G57" s="35"/>
      <c r="H57" s="36"/>
      <c r="I57" s="36"/>
    </row>
    <row r="58">
      <c r="A58" s="39" t="s">
        <v>43</v>
      </c>
      <c r="B58" s="39" t="s">
        <v>44</v>
      </c>
      <c r="C58" s="39" t="s">
        <v>45</v>
      </c>
      <c r="D58" s="35"/>
      <c r="E58" s="35"/>
      <c r="F58" s="35"/>
      <c r="G58" s="35"/>
      <c r="H58" s="36"/>
      <c r="I58" s="36"/>
    </row>
    <row r="59">
      <c r="A59" s="47">
        <v>0.09</v>
      </c>
      <c r="B59" s="40">
        <v>1.73</v>
      </c>
      <c r="C59" s="40">
        <v>19.19</v>
      </c>
      <c r="D59" s="35"/>
      <c r="E59" s="35"/>
      <c r="F59" s="35"/>
      <c r="G59" s="35"/>
      <c r="H59" s="36"/>
      <c r="I59" s="36"/>
    </row>
    <row r="60">
      <c r="A60" s="48" t="s">
        <v>46</v>
      </c>
      <c r="B60" s="50"/>
      <c r="C60" s="50">
        <v>19.19</v>
      </c>
      <c r="D60" s="35"/>
      <c r="E60" s="35"/>
      <c r="F60" s="35"/>
      <c r="G60" s="35"/>
      <c r="H60" s="36"/>
      <c r="I60" s="36"/>
    </row>
    <row r="61">
      <c r="A61" s="51"/>
      <c r="B61" s="51"/>
      <c r="C61" s="51"/>
      <c r="D61" s="35"/>
      <c r="E61" s="35"/>
      <c r="F61" s="35"/>
      <c r="G61" s="35"/>
      <c r="H61" s="35"/>
      <c r="I61" s="36"/>
    </row>
  </sheetData>
  <conditionalFormatting sqref="G48:H48">
    <cfRule type="cellIs" dxfId="0" priority="1" operator="greaterThan">
      <formula>0</formula>
    </cfRule>
  </conditionalFormatting>
  <printOptions horizontalCentered="1"/>
  <pageMargins bottom="0.75" footer="0.0" header="0.0" left="0.7" right="0.7" top="0.75"/>
  <pageSetup fitToWidth="0" paperSize="9" cellComments="atEnd" orientation="landscape" pageOrder="overThenDown"/>
  <drawing r:id="rId1"/>
</worksheet>
</file>